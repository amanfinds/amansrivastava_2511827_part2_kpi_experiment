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Metrics" sheetId="1" state="visible" r:id="rId3"/>
    <sheet name="Clean_Data" sheetId="2" state="visible" r:id="rId4"/>
    <sheet name="Segment_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<sst xmlns="http://schemas.openxmlformats.org/spreadsheetml/2006/main" count="9863" uniqueCount="1606">
  <si>
    <t xml:space="preserve">Experiment Summary: Control vs Treatment</t>
  </si>
  <si>
    <t xml:space="preserve">Source: Clean_Data sheet (deduplicated, 1,400 users). Formulas reference Clean_Data directly.</t>
  </si>
  <si>
    <t xml:space="preserve">Metric</t>
  </si>
  <si>
    <t xml:space="preserve">Control</t>
  </si>
  <si>
    <t xml:space="preserve">Treatment</t>
  </si>
  <si>
    <t xml:space="preserve">Absolute Difference</t>
  </si>
  <si>
    <t xml:space="preserve">Relative Lift (%)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</si>
  <si>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</si>
  <si>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</si>
  <si>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</si>
  <si>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</si>
  <si>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</si>
  <si>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Average revenue per user (ARPU)</t>
  </si>
  <si>
    <t xml:space="preserve">Average revenue per converted user</t>
  </si>
  <si>
    <t xml:space="preserve">Refund rate</t>
  </si>
  <si>
    <t xml:space="preserve">Support ticket rate (users with &gt;=1 ticket)</t>
  </si>
  <si>
    <t xml:space="preserve">Average engagement score</t>
  </si>
  <si>
    <t xml:space="preserve">Average days to convert (converters only)</t>
  </si>
  <si>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</si>
  <si>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</si>
  <si>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</si>
  <si>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</si>
  <si>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</si>
  <si>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</si>
  <si>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</si>
  <si>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</si>
  <si>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</si>
  <si>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</si>
  <si>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</si>
  <si>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</si>
  <si>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</si>
  <si>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</si>
  <si>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</si>
  <si>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</si>
  <si>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</si>
  <si>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2025-03-16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</si>
  <si>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</si>
  <si>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</si>
  <si>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</si>
  <si>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</si>
  <si>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</si>
  <si>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2025-03-08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</si>
  <si>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</si>
  <si>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</si>
  <si>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</si>
  <si>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</si>
  <si>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</si>
  <si>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2025-04-24</t>
  </si>
  <si>
    <t xml:space="preserve">East</t>
  </si>
  <si>
    <t xml:space="preserve">Paid Search</t>
  </si>
  <si>
    <t xml:space="preserve">Premium</t>
  </si>
  <si>
    <t xml:space="preserve">USR-100004</t>
  </si>
  <si>
    <t xml:space="preserve">2025-05-04</t>
  </si>
  <si>
    <t xml:space="preserve">South</t>
  </si>
  <si>
    <t xml:space="preserve">USR-100005</t>
  </si>
  <si>
    <t xml:space="preserve">2025-02-12</t>
  </si>
  <si>
    <t xml:space="preserve">Tablet</t>
  </si>
  <si>
    <t xml:space="preserve">USR-100006</t>
  </si>
  <si>
    <t xml:space="preserve">2025-01-28</t>
  </si>
  <si>
    <t xml:space="preserve">USR-100007</t>
  </si>
  <si>
    <t xml:space="preserve">2025-04-08</t>
  </si>
  <si>
    <t xml:space="preserve">USR-100008</t>
  </si>
  <si>
    <t xml:space="preserve">2025-05-17</t>
  </si>
  <si>
    <t xml:space="preserve">USR-100009</t>
  </si>
  <si>
    <t xml:space="preserve">2025-02-23</t>
  </si>
  <si>
    <t xml:space="preserve">Referral</t>
  </si>
  <si>
    <t xml:space="preserve">USR-100010</t>
  </si>
  <si>
    <t xml:space="preserve">2025-05-29</t>
  </si>
  <si>
    <t xml:space="preserve">Social</t>
  </si>
  <si>
    <t xml:space="preserve">USR-100011</t>
  </si>
  <si>
    <t xml:space="preserve">2025-04-30</t>
  </si>
  <si>
    <t xml:space="preserve">USR-100012</t>
  </si>
  <si>
    <t xml:space="preserve">USR-100013</t>
  </si>
  <si>
    <t xml:space="preserve">2025-02-07</t>
  </si>
  <si>
    <t xml:space="preserve">USR-100014</t>
  </si>
  <si>
    <t xml:space="preserve">2025-03-02</t>
  </si>
  <si>
    <t xml:space="preserve">USR-100015</t>
  </si>
  <si>
    <t xml:space="preserve">2025-05-30</t>
  </si>
  <si>
    <t xml:space="preserve">USR-100016</t>
  </si>
  <si>
    <t xml:space="preserve">2025-03-25</t>
  </si>
  <si>
    <t xml:space="preserve">USR-100017</t>
  </si>
  <si>
    <t xml:space="preserve">2025-03-27</t>
  </si>
  <si>
    <t xml:space="preserve">USR-100018</t>
  </si>
  <si>
    <t xml:space="preserve">2025-05-28</t>
  </si>
  <si>
    <t xml:space="preserve">USR-100019</t>
  </si>
  <si>
    <t xml:space="preserve">2025-02-15</t>
  </si>
  <si>
    <t xml:space="preserve">USR-100020</t>
  </si>
  <si>
    <t xml:space="preserve">2025-05-05</t>
  </si>
  <si>
    <t xml:space="preserve">USR-100021</t>
  </si>
  <si>
    <t xml:space="preserve">2025-04-13</t>
  </si>
  <si>
    <t xml:space="preserve">USR-100022</t>
  </si>
  <si>
    <t xml:space="preserve">2025-05-07</t>
  </si>
  <si>
    <t xml:space="preserve">USR-100023</t>
  </si>
  <si>
    <t xml:space="preserve">2025-05-25</t>
  </si>
  <si>
    <t xml:space="preserve">USR-100024</t>
  </si>
  <si>
    <t xml:space="preserve">2025-04-01</t>
  </si>
  <si>
    <t xml:space="preserve">USR-100025</t>
  </si>
  <si>
    <t xml:space="preserve">2025-02-22</t>
  </si>
  <si>
    <t xml:space="preserve">USR-100026</t>
  </si>
  <si>
    <t xml:space="preserve">2025-03-24</t>
  </si>
  <si>
    <t xml:space="preserve">USR-100027</t>
  </si>
  <si>
    <t xml:space="preserve">2025-02-13</t>
  </si>
  <si>
    <t xml:space="preserve">USR-100028</t>
  </si>
  <si>
    <t xml:space="preserve">USR-100029</t>
  </si>
  <si>
    <t xml:space="preserve">2025-01-20</t>
  </si>
  <si>
    <t xml:space="preserve">USR-100030</t>
  </si>
  <si>
    <t xml:space="preserve">2025-05-19</t>
  </si>
  <si>
    <t xml:space="preserve">USR-100031</t>
  </si>
  <si>
    <t xml:space="preserve">2025-02-18</t>
  </si>
  <si>
    <t xml:space="preserve">USR-100032</t>
  </si>
  <si>
    <t xml:space="preserve">USR-100033</t>
  </si>
  <si>
    <t xml:space="preserve">USR-100034</t>
  </si>
  <si>
    <t xml:space="preserve">2025-01-11</t>
  </si>
  <si>
    <t xml:space="preserve">USR-100035</t>
  </si>
  <si>
    <t xml:space="preserve">USR-100036</t>
  </si>
  <si>
    <t xml:space="preserve">USR-100037</t>
  </si>
  <si>
    <t xml:space="preserve">2025-05-09</t>
  </si>
  <si>
    <t xml:space="preserve">USR-100038</t>
  </si>
  <si>
    <t xml:space="preserve">USR-100039</t>
  </si>
  <si>
    <t xml:space="preserve">2025-05-13</t>
  </si>
  <si>
    <t xml:space="preserve">USR-100040</t>
  </si>
  <si>
    <t xml:space="preserve">2025-04-07</t>
  </si>
  <si>
    <t xml:space="preserve">USR-100041</t>
  </si>
  <si>
    <t xml:space="preserve">2025-03-31</t>
  </si>
  <si>
    <t xml:space="preserve">USR-100042</t>
  </si>
  <si>
    <t xml:space="preserve">2025-01-25</t>
  </si>
  <si>
    <t xml:space="preserve">USR-100043</t>
  </si>
  <si>
    <t xml:space="preserve">2025-02-14</t>
  </si>
  <si>
    <t xml:space="preserve">USR-100044</t>
  </si>
  <si>
    <t xml:space="preserve">2025-02-27</t>
  </si>
  <si>
    <t xml:space="preserve">USR-100045</t>
  </si>
  <si>
    <t xml:space="preserve">2025-03-28</t>
  </si>
  <si>
    <t xml:space="preserve">USR-100046</t>
  </si>
  <si>
    <t xml:space="preserve">USR-100047</t>
  </si>
  <si>
    <t xml:space="preserve">USR-100048</t>
  </si>
  <si>
    <t xml:space="preserve">2025-05-16</t>
  </si>
  <si>
    <t xml:space="preserve">USR-100049</t>
  </si>
  <si>
    <t xml:space="preserve">2025-01-08</t>
  </si>
  <si>
    <t xml:space="preserve">USR-100050</t>
  </si>
  <si>
    <t xml:space="preserve">2025-01-06</t>
  </si>
  <si>
    <t xml:space="preserve">USR-100051</t>
  </si>
  <si>
    <t xml:space="preserve">2025-01-12</t>
  </si>
  <si>
    <t xml:space="preserve">USR-100052</t>
  </si>
  <si>
    <t xml:space="preserve">USR-100053</t>
  </si>
  <si>
    <t xml:space="preserve">2025-03-10</t>
  </si>
  <si>
    <t xml:space="preserve">USR-100054</t>
  </si>
  <si>
    <t xml:space="preserve">2025-04-20</t>
  </si>
  <si>
    <t xml:space="preserve">USR-100055</t>
  </si>
  <si>
    <t xml:space="preserve">2025-02-19</t>
  </si>
  <si>
    <t xml:space="preserve">USR-100056</t>
  </si>
  <si>
    <t xml:space="preserve">USR-100057</t>
  </si>
  <si>
    <t xml:space="preserve">USR-100058</t>
  </si>
  <si>
    <t xml:space="preserve">2025-02-04</t>
  </si>
  <si>
    <t xml:space="preserve">USR-100059</t>
  </si>
  <si>
    <t xml:space="preserve">2025-04-14</t>
  </si>
  <si>
    <t xml:space="preserve">USR-100060</t>
  </si>
  <si>
    <t xml:space="preserve">2025-01-01</t>
  </si>
  <si>
    <t xml:space="preserve">USR-100061</t>
  </si>
  <si>
    <t xml:space="preserve">2025-04-02</t>
  </si>
  <si>
    <t xml:space="preserve">USR-100062</t>
  </si>
  <si>
    <t xml:space="preserve">2025-03-29</t>
  </si>
  <si>
    <t xml:space="preserve">USR-100063</t>
  </si>
  <si>
    <t xml:space="preserve">2025-05-15</t>
  </si>
  <si>
    <t xml:space="preserve">USR-100064</t>
  </si>
  <si>
    <t xml:space="preserve">2025-04-11</t>
  </si>
  <si>
    <t xml:space="preserve">USR-100065</t>
  </si>
  <si>
    <t xml:space="preserve">2025-03-07</t>
  </si>
  <si>
    <t xml:space="preserve">USR-100066</t>
  </si>
  <si>
    <t xml:space="preserve">USR-100067</t>
  </si>
  <si>
    <t xml:space="preserve">2025-01-07</t>
  </si>
  <si>
    <t xml:space="preserve">USR-100068</t>
  </si>
  <si>
    <t xml:space="preserve">2025-05-08</t>
  </si>
  <si>
    <t xml:space="preserve">USR-100069</t>
  </si>
  <si>
    <t xml:space="preserve">2025-03-19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</si>
  <si>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</si>
  <si>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</si>
  <si>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</si>
  <si>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</si>
  <si>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2025-01-14</t>
  </si>
  <si>
    <t xml:space="preserve">USR-100074</t>
  </si>
  <si>
    <t xml:space="preserve">2025-02-10</t>
  </si>
  <si>
    <t xml:space="preserve">USR-100075</t>
  </si>
  <si>
    <t xml:space="preserve">2025-03-17</t>
  </si>
  <si>
    <t xml:space="preserve">USR-100076</t>
  </si>
  <si>
    <t xml:space="preserve">2025-01-09</t>
  </si>
  <si>
    <t xml:space="preserve">USR-100077</t>
  </si>
  <si>
    <t xml:space="preserve">2025-04-17</t>
  </si>
  <si>
    <t xml:space="preserve">USR-100078</t>
  </si>
  <si>
    <t xml:space="preserve">2025-01-16</t>
  </si>
  <si>
    <t xml:space="preserve">USR-100079</t>
  </si>
  <si>
    <t xml:space="preserve">2025-02-20</t>
  </si>
  <si>
    <t xml:space="preserve">USR-100080</t>
  </si>
  <si>
    <t xml:space="preserve">2025-05-21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</si>
  <si>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</si>
  <si>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</si>
  <si>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</si>
  <si>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</si>
  <si>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2025-03-03</t>
  </si>
  <si>
    <t xml:space="preserve">USR-100085</t>
  </si>
  <si>
    <t xml:space="preserve">2025-04-16</t>
  </si>
  <si>
    <t xml:space="preserve">USR-100086</t>
  </si>
  <si>
    <t xml:space="preserve">USR-100087</t>
  </si>
  <si>
    <t xml:space="preserve">2025-01-22</t>
  </si>
  <si>
    <t xml:space="preserve">USR-100088</t>
  </si>
  <si>
    <t xml:space="preserve">USR-100089</t>
  </si>
  <si>
    <t xml:space="preserve">2025-04-25</t>
  </si>
  <si>
    <t xml:space="preserve">USR-100090</t>
  </si>
  <si>
    <t xml:space="preserve">2025-02-01</t>
  </si>
  <si>
    <t xml:space="preserve">USR-100091</t>
  </si>
  <si>
    <t xml:space="preserve">2025-04-23</t>
  </si>
  <si>
    <t xml:space="preserve">USR-100092</t>
  </si>
  <si>
    <t xml:space="preserve">USR-100093</t>
  </si>
  <si>
    <t xml:space="preserve">2025-04-09</t>
  </si>
  <si>
    <t xml:space="preserve">USR-100094</t>
  </si>
  <si>
    <t xml:space="preserve">USR-100095</t>
  </si>
  <si>
    <t xml:space="preserve">USR-100096</t>
  </si>
  <si>
    <t xml:space="preserve">2025-02-05</t>
  </si>
  <si>
    <t xml:space="preserve">USR-100097</t>
  </si>
  <si>
    <t xml:space="preserve">USR-100098</t>
  </si>
  <si>
    <t xml:space="preserve">2025-02-11</t>
  </si>
  <si>
    <t xml:space="preserve">USR-100099</t>
  </si>
  <si>
    <t xml:space="preserve">USR-100100</t>
  </si>
  <si>
    <t xml:space="preserve">2025-05-26</t>
  </si>
  <si>
    <t xml:space="preserve">USR-100101</t>
  </si>
  <si>
    <t xml:space="preserve">2025-03-22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</si>
  <si>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</si>
  <si>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</si>
  <si>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</si>
  <si>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</si>
  <si>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2025-01-05</t>
  </si>
  <si>
    <t xml:space="preserve">USR-100106</t>
  </si>
  <si>
    <t xml:space="preserve">USR-100107</t>
  </si>
  <si>
    <t xml:space="preserve">2025-01-23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</si>
  <si>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</si>
  <si>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</si>
  <si>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</si>
  <si>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</si>
  <si>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2025-04-28</t>
  </si>
  <si>
    <t xml:space="preserve">USR-100112</t>
  </si>
  <si>
    <t xml:space="preserve">2025-01-30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</si>
  <si>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</si>
  <si>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</si>
  <si>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</si>
  <si>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</si>
  <si>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</si>
  <si>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</si>
  <si>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2025-01-02</t>
  </si>
  <si>
    <t xml:space="preserve">USR-100119</t>
  </si>
  <si>
    <t xml:space="preserve">2025-03-18</t>
  </si>
  <si>
    <t xml:space="preserve">USR-100120</t>
  </si>
  <si>
    <t xml:space="preserve">USR-100121</t>
  </si>
  <si>
    <t xml:space="preserve">USR-100122</t>
  </si>
  <si>
    <t xml:space="preserve">2025-01-26</t>
  </si>
  <si>
    <t xml:space="preserve">USR-100123</t>
  </si>
  <si>
    <t xml:space="preserve">2025-04-22</t>
  </si>
  <si>
    <t xml:space="preserve">USR-100124</t>
  </si>
  <si>
    <t xml:space="preserve">USR-100125</t>
  </si>
  <si>
    <t xml:space="preserve">2025-05-18</t>
  </si>
  <si>
    <t xml:space="preserve">USR-100126</t>
  </si>
  <si>
    <t xml:space="preserve">2025-01-13</t>
  </si>
  <si>
    <t xml:space="preserve">USR-100127</t>
  </si>
  <si>
    <t xml:space="preserve">USR-100128</t>
  </si>
  <si>
    <t xml:space="preserve">2025-04-29</t>
  </si>
  <si>
    <t xml:space="preserve">USR-100129</t>
  </si>
  <si>
    <t xml:space="preserve">USR-100130</t>
  </si>
  <si>
    <t xml:space="preserve">USR-100131</t>
  </si>
  <si>
    <t xml:space="preserve">2025-02-03</t>
  </si>
  <si>
    <t xml:space="preserve">USR-100132</t>
  </si>
  <si>
    <t xml:space="preserve">2025-03-04</t>
  </si>
  <si>
    <t xml:space="preserve">USR-100133</t>
  </si>
  <si>
    <t xml:space="preserve">USR-100134</t>
  </si>
  <si>
    <t xml:space="preserve">2025-05-12</t>
  </si>
  <si>
    <t xml:space="preserve">USR-100135</t>
  </si>
  <si>
    <t xml:space="preserve">2025-03-06</t>
  </si>
  <si>
    <t xml:space="preserve">USR-100136</t>
  </si>
  <si>
    <t xml:space="preserve">USR-100137</t>
  </si>
  <si>
    <t xml:space="preserve">2025-05-06</t>
  </si>
  <si>
    <t xml:space="preserve">USR-100138</t>
  </si>
  <si>
    <t xml:space="preserve">USR-100139</t>
  </si>
  <si>
    <t xml:space="preserve">2025-01-29</t>
  </si>
  <si>
    <t xml:space="preserve">USR-100140</t>
  </si>
  <si>
    <t xml:space="preserve">2025-01-31</t>
  </si>
  <si>
    <t xml:space="preserve">USR-100141</t>
  </si>
  <si>
    <t xml:space="preserve">2025-01-19</t>
  </si>
  <si>
    <t xml:space="preserve">USR-100142</t>
  </si>
  <si>
    <t xml:space="preserve">2025-04-03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</si>
  <si>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</si>
  <si>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</si>
  <si>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</si>
  <si>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</si>
  <si>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</si>
  <si>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</si>
  <si>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</si>
  <si>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</si>
  <si>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</si>
  <si>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</si>
  <si>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2025-03-13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</si>
  <si>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</si>
  <si>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</si>
  <si>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</si>
  <si>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</si>
  <si>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2025-03-11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</si>
  <si>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</si>
  <si>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</si>
  <si>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</si>
  <si>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</si>
  <si>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</si>
  <si>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2025-05-14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</si>
  <si>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</si>
  <si>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</si>
  <si>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</si>
  <si>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</si>
  <si>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</si>
  <si>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2025-04-26</t>
  </si>
  <si>
    <t xml:space="preserve">USR-100167</t>
  </si>
  <si>
    <t xml:space="preserve">2025-04-06</t>
  </si>
  <si>
    <t xml:space="preserve">USR-100168</t>
  </si>
  <si>
    <t xml:space="preserve">USR-100169</t>
  </si>
  <si>
    <t xml:space="preserve">USR-100170</t>
  </si>
  <si>
    <t xml:space="preserve">2025-03-30</t>
  </si>
  <si>
    <t xml:space="preserve">USR-100171</t>
  </si>
  <si>
    <t xml:space="preserve">USR-100172</t>
  </si>
  <si>
    <t xml:space="preserve">2025-03-23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</si>
  <si>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</si>
  <si>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</si>
  <si>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</si>
  <si>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</si>
  <si>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</si>
  <si>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</si>
  <si>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</si>
  <si>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</si>
  <si>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</si>
  <si>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</si>
  <si>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</si>
  <si>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2025-03-12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</si>
  <si>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</si>
  <si>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</si>
  <si>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</si>
  <si>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</si>
  <si>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</si>
  <si>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2025-01-18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</si>
  <si>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</si>
  <si>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</si>
  <si>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</si>
  <si>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</si>
  <si>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2025-02-09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</si>
  <si>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</si>
  <si>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</si>
  <si>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</si>
  <si>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</si>
  <si>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</si>
  <si>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</si>
  <si>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</si>
  <si>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</si>
  <si>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2025-03-05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</si>
  <si>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</si>
  <si>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</si>
  <si>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</si>
  <si>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</si>
  <si>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2025-01-27</t>
  </si>
  <si>
    <t xml:space="preserve">USR-100205</t>
  </si>
  <si>
    <t xml:space="preserve">2025-05-22</t>
  </si>
  <si>
    <t xml:space="preserve">USR-100206</t>
  </si>
  <si>
    <t xml:space="preserve">USR-100207</t>
  </si>
  <si>
    <t xml:space="preserve">USR-100208</t>
  </si>
  <si>
    <t xml:space="preserve">2025-01-21</t>
  </si>
  <si>
    <t xml:space="preserve">USR-100209</t>
  </si>
  <si>
    <t xml:space="preserve">USR-100210</t>
  </si>
  <si>
    <t xml:space="preserve">2025-02-02</t>
  </si>
  <si>
    <t xml:space="preserve">USR-100211</t>
  </si>
  <si>
    <t xml:space="preserve">USR-100212</t>
  </si>
  <si>
    <t xml:space="preserve">2025-01-24</t>
  </si>
  <si>
    <t xml:space="preserve">USR-100213</t>
  </si>
  <si>
    <t xml:space="preserve">2025-04-12</t>
  </si>
  <si>
    <t xml:space="preserve">USR-100214</t>
  </si>
  <si>
    <t xml:space="preserve">USR-100215</t>
  </si>
  <si>
    <t xml:space="preserve">USR-100216</t>
  </si>
  <si>
    <t xml:space="preserve">2025-04-18</t>
  </si>
  <si>
    <t xml:space="preserve">USR-100217</t>
  </si>
  <si>
    <t xml:space="preserve">USR-100218</t>
  </si>
  <si>
    <t xml:space="preserve">2025-02-25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</si>
  <si>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</si>
  <si>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</si>
  <si>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</si>
  <si>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</si>
  <si>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</si>
  <si>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2025-02-17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</si>
  <si>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</si>
  <si>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</si>
  <si>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</si>
  <si>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</si>
  <si>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</si>
  <si>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</si>
  <si>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</si>
  <si>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</si>
  <si>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</si>
  <si>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</si>
  <si>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</si>
  <si>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</si>
  <si>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2025-02-26</t>
  </si>
  <si>
    <t xml:space="preserve">USR-100236</t>
  </si>
  <si>
    <t xml:space="preserve">USR-100237</t>
  </si>
  <si>
    <t xml:space="preserve">2025-03-01</t>
  </si>
  <si>
    <t xml:space="preserve">USR-100238</t>
  </si>
  <si>
    <t xml:space="preserve">2025-04-05</t>
  </si>
  <si>
    <t xml:space="preserve">USR-100239</t>
  </si>
  <si>
    <t xml:space="preserve">USR-100240</t>
  </si>
  <si>
    <t xml:space="preserve">2025-03-15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</si>
  <si>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</si>
  <si>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</si>
  <si>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</si>
  <si>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</si>
  <si>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</si>
  <si>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</si>
  <si>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</si>
  <si>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2025-03-14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</si>
  <si>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</si>
  <si>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</si>
  <si>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</si>
  <si>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</si>
  <si>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</si>
  <si>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2025-05-23</t>
  </si>
  <si>
    <t xml:space="preserve">USR-100253</t>
  </si>
  <si>
    <t xml:space="preserve">USR-100254</t>
  </si>
  <si>
    <t xml:space="preserve">USR-100255</t>
  </si>
  <si>
    <t xml:space="preserve">2025-05-27</t>
  </si>
  <si>
    <t xml:space="preserve">USR-100256</t>
  </si>
  <si>
    <t xml:space="preserve">USR-100257</t>
  </si>
  <si>
    <t xml:space="preserve">2025-04-21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</si>
  <si>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</si>
  <si>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</si>
  <si>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</si>
  <si>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</si>
  <si>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2025-04-10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</si>
  <si>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</si>
  <si>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</si>
  <si>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</si>
  <si>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</si>
  <si>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</si>
  <si>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</si>
  <si>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</si>
  <si>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</si>
  <si>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</si>
  <si>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</si>
  <si>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</si>
  <si>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</si>
  <si>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2025-05-10</t>
  </si>
  <si>
    <t xml:space="preserve">USR-100274</t>
  </si>
  <si>
    <t xml:space="preserve">USR-100275</t>
  </si>
  <si>
    <t xml:space="preserve">USR-100276</t>
  </si>
  <si>
    <t xml:space="preserve">2025-05-11</t>
  </si>
  <si>
    <t xml:space="preserve">USR-100277</t>
  </si>
  <si>
    <t xml:space="preserve">2025-03-20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</si>
  <si>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</si>
  <si>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</si>
  <si>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</si>
  <si>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</si>
  <si>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2025-04-04</t>
  </si>
  <si>
    <t xml:space="preserve">USR-100282</t>
  </si>
  <si>
    <t xml:space="preserve">2025-05-01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</si>
  <si>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</si>
  <si>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</si>
  <si>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</si>
  <si>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</si>
  <si>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2025-02-08</t>
  </si>
  <si>
    <t xml:space="preserve">USR-100287</t>
  </si>
  <si>
    <t xml:space="preserve">2025-05-31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</si>
  <si>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</si>
  <si>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</si>
  <si>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</si>
  <si>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</si>
  <si>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</si>
  <si>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</si>
  <si>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</si>
  <si>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2025-02-16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</si>
  <si>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</si>
  <si>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</si>
  <si>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</si>
  <si>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</si>
  <si>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</si>
  <si>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</si>
  <si>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</si>
  <si>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</si>
  <si>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</si>
  <si>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</si>
  <si>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</si>
  <si>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</si>
  <si>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</si>
  <si>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</si>
  <si>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</si>
  <si>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</si>
  <si>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</si>
  <si>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</si>
  <si>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</si>
  <si>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</si>
  <si>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</si>
  <si>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</si>
  <si>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</si>
  <si>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</si>
  <si>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</si>
  <si>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2025-05-03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</si>
  <si>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</si>
  <si>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</si>
  <si>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</si>
  <si>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</si>
  <si>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</si>
  <si>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</si>
  <si>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</si>
  <si>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</si>
  <si>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</si>
  <si>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</si>
  <si>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</si>
  <si>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</si>
  <si>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</si>
  <si>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</si>
  <si>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</si>
  <si>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2025-01-10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</si>
  <si>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</si>
  <si>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</si>
  <si>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</si>
  <si>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</si>
  <si>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</si>
  <si>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</si>
  <si>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</si>
  <si>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</si>
  <si>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</si>
  <si>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</si>
  <si>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</si>
  <si>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</si>
  <si>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</si>
  <si>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2025-01-03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</si>
  <si>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</si>
  <si>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</si>
  <si>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</si>
  <si>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</si>
  <si>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</si>
  <si>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</si>
  <si>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</si>
  <si>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</si>
  <si>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</si>
  <si>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</si>
  <si>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</si>
  <si>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</si>
  <si>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</si>
  <si>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</si>
  <si>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</si>
  <si>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</si>
  <si>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</si>
  <si>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</si>
  <si>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</si>
  <si>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</si>
  <si>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</si>
  <si>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</si>
  <si>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</si>
  <si>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</si>
  <si>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</si>
  <si>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</si>
  <si>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</si>
  <si>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</si>
  <si>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</si>
  <si>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</si>
  <si>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</si>
  <si>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</si>
  <si>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2025-04-15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</si>
  <si>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</si>
  <si>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</si>
  <si>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</si>
  <si>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</si>
  <si>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</si>
  <si>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</si>
  <si>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</si>
  <si>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</si>
  <si>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</si>
  <si>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</si>
  <si>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</si>
  <si>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</si>
  <si>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</si>
  <si>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</si>
  <si>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2025-02-24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</si>
  <si>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</si>
  <si>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</si>
  <si>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</si>
  <si>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</si>
  <si>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</si>
  <si>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</si>
  <si>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</si>
  <si>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</si>
  <si>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</si>
  <si>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</si>
  <si>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</si>
  <si>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</si>
  <si>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</si>
  <si>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</si>
  <si>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</si>
  <si>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2025-02-06</t>
  </si>
  <si>
    <t xml:space="preserve">USR-100409</t>
  </si>
  <si>
    <t xml:space="preserve">2025-02-21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</si>
  <si>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</si>
  <si>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</si>
  <si>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</si>
  <si>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</si>
  <si>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</si>
  <si>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</si>
  <si>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</si>
  <si>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</si>
  <si>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</si>
  <si>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</si>
  <si>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</si>
  <si>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</si>
  <si>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</si>
  <si>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</si>
  <si>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</si>
  <si>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</si>
  <si>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</si>
  <si>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</si>
  <si>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</si>
  <si>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</si>
  <si>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</si>
  <si>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</si>
  <si>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</si>
  <si>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</si>
  <si>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</si>
  <si>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</si>
  <si>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2025-05-02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</si>
  <si>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</si>
  <si>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</si>
  <si>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</si>
  <si>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</si>
  <si>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</si>
  <si>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</si>
  <si>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</si>
  <si>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2025-05-24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</si>
  <si>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</si>
  <si>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</si>
  <si>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</si>
  <si>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</si>
  <si>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</si>
  <si>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</si>
  <si>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</si>
  <si>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</si>
  <si>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</si>
  <si>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</si>
  <si>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</si>
  <si>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</si>
  <si>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</si>
  <si>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</si>
  <si>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</si>
  <si>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</si>
  <si>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</si>
  <si>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2025-01-17</t>
  </si>
  <si>
    <t xml:space="preserve">USR-100460</t>
  </si>
  <si>
    <t xml:space="preserve">USR-100461</t>
  </si>
  <si>
    <t xml:space="preserve">2025-02-28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</si>
  <si>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</si>
  <si>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</si>
  <si>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</si>
  <si>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</si>
  <si>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</si>
  <si>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</si>
  <si>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</si>
  <si>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</si>
  <si>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</si>
  <si>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2025-05-20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</si>
  <si>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</si>
  <si>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</si>
  <si>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</si>
  <si>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</si>
  <si>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</si>
  <si>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</si>
  <si>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</si>
  <si>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</si>
  <si>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</si>
  <si>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</si>
  <si>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</si>
  <si>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</si>
  <si>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</si>
  <si>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</si>
  <si>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</si>
  <si>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</si>
  <si>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</si>
  <si>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</si>
  <si>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</si>
  <si>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</si>
  <si>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</si>
  <si>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</si>
  <si>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</si>
  <si>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</si>
  <si>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</si>
  <si>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</si>
  <si>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</si>
  <si>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</si>
  <si>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</si>
  <si>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</si>
  <si>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</si>
  <si>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</si>
  <si>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</si>
  <si>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</si>
  <si>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</si>
  <si>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</si>
  <si>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</si>
  <si>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</si>
  <si>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</si>
  <si>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</si>
  <si>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</si>
  <si>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</si>
  <si>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</si>
  <si>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</si>
  <si>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</si>
  <si>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</si>
  <si>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</si>
  <si>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</si>
  <si>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</si>
  <si>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</si>
  <si>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</si>
  <si>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</si>
  <si>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</si>
  <si>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</si>
  <si>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</si>
  <si>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</si>
  <si>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</si>
  <si>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</si>
  <si>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</si>
  <si>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</si>
  <si>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</si>
  <si>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</si>
  <si>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</si>
  <si>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</si>
  <si>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</si>
  <si>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</si>
  <si>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</si>
  <si>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</si>
  <si>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</si>
  <si>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</si>
  <si>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</si>
  <si>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</si>
  <si>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</si>
  <si>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</si>
  <si>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</si>
  <si>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</si>
  <si>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</si>
  <si>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</si>
  <si>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</si>
  <si>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</si>
  <si>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</si>
  <si>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</si>
  <si>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</si>
  <si>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</si>
  <si>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</si>
  <si>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</si>
  <si>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</si>
  <si>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</si>
  <si>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</si>
  <si>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</si>
  <si>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</si>
  <si>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</si>
  <si>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</si>
  <si>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</si>
  <si>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</si>
  <si>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</si>
  <si>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</si>
  <si>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</si>
  <si>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</si>
  <si>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</si>
  <si>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</si>
  <si>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</si>
  <si>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</si>
  <si>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</si>
  <si>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</si>
  <si>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</si>
  <si>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</si>
  <si>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</si>
  <si>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</si>
  <si>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</si>
  <si>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</si>
  <si>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</si>
  <si>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</si>
  <si>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</si>
  <si>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</si>
  <si>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</si>
  <si>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</si>
  <si>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</si>
  <si>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</si>
  <si>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</si>
  <si>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</si>
  <si>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</si>
  <si>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</si>
  <si>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2025-04-19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</si>
  <si>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</si>
  <si>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</si>
  <si>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</si>
  <si>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</si>
  <si>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</si>
  <si>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</si>
  <si>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</si>
  <si>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</si>
  <si>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</si>
  <si>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</si>
  <si>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</si>
  <si>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</si>
  <si>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</si>
  <si>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</si>
  <si>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</si>
  <si>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</si>
  <si>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</si>
  <si>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</si>
  <si>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</si>
  <si>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2025-03-09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</si>
  <si>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</si>
  <si>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</si>
  <si>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</si>
  <si>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</si>
  <si>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</si>
  <si>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</si>
  <si>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</si>
  <si>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</si>
  <si>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</si>
  <si>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</si>
  <si>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</si>
  <si>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</si>
  <si>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</si>
  <si>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</si>
  <si>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</si>
  <si>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</si>
  <si>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</si>
  <si>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</si>
  <si>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</si>
  <si>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</si>
  <si>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</si>
  <si>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</si>
  <si>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</si>
  <si>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</si>
  <si>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</si>
  <si>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</si>
  <si>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</si>
  <si>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</si>
  <si>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</si>
  <si>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</si>
  <si>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</si>
  <si>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</si>
  <si>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</si>
  <si>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</si>
  <si>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</si>
  <si>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</si>
  <si>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</si>
  <si>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</si>
  <si>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</si>
  <si>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</si>
  <si>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</si>
  <si>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</si>
  <si>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</si>
  <si>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</si>
  <si>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</si>
  <si>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</si>
  <si>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</si>
  <si>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</si>
  <si>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</si>
  <si>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</si>
  <si>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</si>
  <si>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</si>
  <si>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</si>
  <si>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</si>
  <si>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</si>
  <si>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</si>
  <si>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</si>
  <si>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</si>
  <si>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</si>
  <si>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</si>
  <si>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</si>
  <si>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</si>
  <si>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2025-03-21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</si>
  <si>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</si>
  <si>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</si>
  <si>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</si>
  <si>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</si>
  <si>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</si>
  <si>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</si>
  <si>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</si>
  <si>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</si>
  <si>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</si>
  <si>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</si>
  <si>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</si>
  <si>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</si>
  <si>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</si>
  <si>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</si>
  <si>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</si>
  <si>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</si>
  <si>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</si>
  <si>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</si>
  <si>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</si>
  <si>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</si>
  <si>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</si>
  <si>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</si>
  <si>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</si>
  <si>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</si>
  <si>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</si>
  <si>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</si>
  <si>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</si>
  <si>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</si>
  <si>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</si>
  <si>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</si>
  <si>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</si>
  <si>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</si>
  <si>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</si>
  <si>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</si>
  <si>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</si>
  <si>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</si>
  <si>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</si>
  <si>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</si>
  <si>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</si>
  <si>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</si>
  <si>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</si>
  <si>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</si>
  <si>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</si>
  <si>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</si>
  <si>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</si>
  <si>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</si>
  <si>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</si>
  <si>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</si>
  <si>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</si>
  <si>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</si>
  <si>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</si>
  <si>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</si>
  <si>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</si>
  <si>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</si>
  <si>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</si>
  <si>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</si>
  <si>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</si>
  <si>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</si>
  <si>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</si>
  <si>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</si>
  <si>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</si>
  <si>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</si>
  <si>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</si>
  <si>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</si>
  <si>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</si>
  <si>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</si>
  <si>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</si>
  <si>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</si>
  <si>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</si>
  <si>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</si>
  <si>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</si>
  <si>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2025-01-04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</si>
  <si>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</si>
  <si>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</si>
  <si>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</si>
  <si>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</si>
  <si>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</si>
  <si>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</si>
  <si>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</si>
  <si>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</si>
  <si>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</si>
  <si>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</si>
  <si>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</si>
  <si>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</si>
  <si>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</si>
  <si>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</si>
  <si>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</si>
  <si>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</si>
  <si>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</si>
  <si>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2025-03-26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</si>
  <si>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</si>
  <si>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</si>
  <si>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</si>
  <si>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</si>
  <si>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</si>
  <si>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</si>
  <si>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</si>
  <si>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</si>
  <si>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</si>
  <si>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</si>
  <si>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</si>
  <si>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</si>
  <si>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</si>
  <si>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</si>
  <si>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</si>
  <si>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</si>
  <si>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</si>
  <si>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</si>
  <si>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</si>
  <si>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2025-01-15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</si>
  <si>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</si>
  <si>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</si>
  <si>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</si>
  <si>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</si>
  <si>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</si>
  <si>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</si>
  <si>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</si>
  <si>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</si>
  <si>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</si>
  <si>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</si>
  <si>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</si>
  <si>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</si>
  <si>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</si>
  <si>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</si>
  <si>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</si>
  <si>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</si>
  <si>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</si>
  <si>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</si>
  <si>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</si>
  <si>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</si>
  <si>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</si>
  <si>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</si>
  <si>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</si>
  <si>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</si>
  <si>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</si>
  <si>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</si>
  <si>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</si>
  <si>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</si>
  <si>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</si>
  <si>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</si>
  <si>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</si>
  <si>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</si>
  <si>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</si>
  <si>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</si>
  <si>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</si>
  <si>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</si>
  <si>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</si>
  <si>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</si>
  <si>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</si>
  <si>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</si>
  <si>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</si>
  <si>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</si>
  <si>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</si>
  <si>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</si>
  <si>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</si>
  <si>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</si>
  <si>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</si>
  <si>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</si>
  <si>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</si>
  <si>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</si>
  <si>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</si>
  <si>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</si>
  <si>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</si>
  <si>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</si>
  <si>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</si>
  <si>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</si>
  <si>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</si>
  <si>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</si>
  <si>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</si>
  <si>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</si>
  <si>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</si>
  <si>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</si>
  <si>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</si>
  <si>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</si>
  <si>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</si>
  <si>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</si>
  <si>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</si>
  <si>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</si>
  <si>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</si>
  <si>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</si>
  <si>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</si>
  <si>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</si>
  <si>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</si>
  <si>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</si>
  <si>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</si>
  <si>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</si>
  <si>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</si>
  <si>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</si>
  <si>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</si>
  <si>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</si>
  <si>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</si>
  <si>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</si>
  <si>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</si>
  <si>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</si>
  <si>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</si>
  <si>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2025-04-27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</si>
  <si>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</si>
  <si>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</si>
  <si>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</si>
  <si>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</si>
  <si>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</si>
  <si>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</si>
  <si>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</si>
  <si>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</si>
  <si>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</si>
  <si>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</si>
  <si>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</si>
  <si>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</si>
  <si>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</si>
  <si>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</si>
  <si>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</si>
  <si>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</si>
  <si>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</si>
  <si>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</si>
  <si>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</si>
  <si>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</si>
  <si>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</si>
  <si>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</si>
  <si>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</si>
  <si>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</si>
  <si>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</si>
  <si>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</si>
  <si>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</si>
  <si>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</si>
  <si>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</si>
  <si>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</si>
  <si>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</si>
  <si>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</si>
  <si>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</si>
  <si>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</si>
  <si>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</si>
  <si>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</si>
  <si>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</si>
  <si>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</si>
  <si>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</si>
  <si>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</si>
  <si>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</si>
  <si>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</si>
  <si>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</si>
  <si>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</si>
  <si>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</si>
  <si>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</si>
  <si>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</si>
  <si>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</si>
  <si>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</si>
  <si>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</si>
  <si>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</si>
  <si>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</si>
  <si>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</si>
  <si>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</si>
  <si>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</si>
  <si>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</si>
  <si>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</si>
  <si>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</si>
  <si>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</si>
  <si>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</si>
  <si>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</si>
  <si>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</si>
  <si>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</si>
  <si>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</si>
  <si>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</si>
  <si>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</si>
  <si>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</si>
  <si>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</si>
  <si>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</si>
  <si>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</si>
  <si>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</si>
  <si>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</si>
  <si>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</si>
  <si>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</si>
  <si>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</si>
  <si>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</si>
  <si>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</si>
  <si>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</si>
  <si>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</si>
  <si>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</si>
  <si>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</si>
  <si>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</si>
  <si>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</si>
  <si>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</si>
  <si>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</si>
  <si>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</si>
  <si>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</si>
  <si>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</si>
  <si>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</si>
  <si>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</si>
  <si>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</si>
  <si>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</si>
  <si>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</si>
  <si>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</si>
  <si>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</si>
  <si>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</si>
  <si>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</si>
  <si>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</si>
  <si>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</si>
  <si>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</si>
  <si>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</si>
  <si>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</si>
  <si>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</si>
  <si>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</si>
  <si>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</si>
  <si>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</si>
  <si>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</si>
  <si>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</si>
  <si>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</si>
  <si>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</si>
  <si>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</si>
  <si>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</si>
  <si>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</si>
  <si>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</si>
  <si>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</si>
  <si>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</si>
  <si>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</si>
  <si>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</si>
  <si>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</si>
  <si>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</si>
  <si>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</si>
  <si>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</si>
  <si>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</si>
  <si>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</si>
  <si>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</si>
  <si>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</si>
  <si>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</si>
  <si>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</si>
  <si>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</si>
  <si>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</si>
  <si>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</si>
  <si>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</si>
  <si>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</si>
  <si>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</si>
  <si>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</si>
  <si>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</si>
  <si>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</si>
  <si>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</si>
  <si>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</si>
  <si>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</si>
  <si>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</si>
  <si>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</si>
  <si>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</si>
  <si>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</si>
  <si>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</si>
  <si>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</si>
  <si>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</si>
  <si>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</si>
  <si>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</si>
  <si>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</si>
  <si>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</si>
  <si>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</si>
  <si>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</si>
  <si>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</si>
  <si>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</si>
  <si>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</si>
  <si>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</si>
  <si>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</si>
  <si>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</si>
  <si>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</si>
  <si>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</si>
  <si>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</si>
  <si>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</si>
  <si>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</si>
  <si>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</si>
  <si>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</si>
  <si>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</si>
  <si>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</si>
  <si>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</si>
  <si>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</si>
  <si>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</si>
  <si>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</si>
  <si>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</si>
  <si>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</si>
  <si>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</si>
  <si>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</si>
  <si>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</si>
  <si>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</si>
  <si>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</si>
  <si>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</si>
  <si>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</si>
  <si>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</si>
  <si>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</si>
  <si>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</si>
  <si>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</si>
  <si>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</si>
  <si>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</si>
  <si>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</si>
  <si>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</si>
  <si>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</si>
  <si>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</si>
  <si>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</si>
  <si>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</si>
  <si>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</si>
  <si>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</si>
  <si>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</si>
  <si>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</si>
  <si>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</si>
  <si>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</si>
  <si>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</si>
  <si>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</si>
  <si>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</si>
  <si>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</si>
  <si>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</si>
  <si>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</si>
  <si>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</si>
  <si>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</si>
  <si>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</si>
  <si>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</si>
  <si>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</si>
  <si>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</si>
  <si>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</si>
  <si>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</si>
  <si>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</si>
  <si>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</si>
  <si>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</si>
  <si>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</si>
  <si>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</si>
  <si>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</si>
  <si>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</si>
  <si>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</si>
  <si>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</si>
  <si>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</si>
  <si>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</si>
  <si>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</si>
  <si>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</si>
  <si>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</si>
  <si>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</si>
  <si>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</si>
  <si>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</si>
  <si>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</si>
  <si>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</si>
  <si>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</si>
  <si>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</si>
  <si>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</si>
  <si>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</si>
  <si>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</si>
  <si>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</si>
  <si>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</si>
  <si>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</si>
  <si>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</si>
  <si>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</si>
  <si>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</si>
  <si>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</si>
  <si>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</si>
  <si>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</si>
  <si>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</si>
  <si>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</si>
  <si>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</si>
  <si>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</si>
  <si>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</si>
  <si>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</si>
  <si>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</si>
  <si>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</si>
  <si>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</si>
  <si>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</si>
  <si>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</si>
  <si>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</si>
  <si>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</si>
  <si>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</si>
  <si>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</si>
  <si>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</si>
  <si>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</si>
  <si>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</si>
  <si>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</si>
  <si>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</si>
  <si>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</si>
  <si>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</si>
  <si>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</si>
  <si>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</si>
  <si>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</si>
  <si>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</si>
  <si>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</si>
  <si>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</si>
  <si>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</si>
  <si>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</si>
  <si>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</si>
  <si>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</si>
  <si>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</si>
  <si>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</si>
  <si>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</si>
  <si>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</si>
  <si>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</si>
  <si>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</si>
  <si>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</si>
  <si>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</si>
  <si>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</si>
  <si>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</si>
  <si>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</si>
  <si>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</si>
  <si>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</si>
  <si>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</si>
  <si>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</si>
  <si>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</si>
  <si>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</si>
  <si>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</si>
  <si>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</si>
  <si>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</si>
  <si>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</si>
  <si>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</si>
  <si>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</si>
  <si>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</si>
  <si>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</si>
  <si>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</si>
  <si>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</si>
  <si>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</si>
  <si>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</si>
  <si>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</si>
  <si>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</si>
  <si>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</si>
  <si>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</si>
  <si>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</si>
  <si>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</si>
  <si>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</si>
  <si>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</si>
  <si>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</si>
  <si>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</si>
  <si>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</si>
  <si>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</si>
  <si>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</si>
  <si>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</si>
  <si>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</si>
  <si>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</si>
  <si>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</si>
  <si>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</si>
  <si>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</si>
  <si>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</si>
  <si>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</si>
  <si>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</si>
  <si>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</si>
  <si>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</si>
  <si>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</si>
  <si>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</si>
  <si>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</si>
  <si>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</si>
  <si>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</si>
  <si>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</si>
  <si>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</si>
  <si>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</si>
  <si>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</si>
  <si>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</si>
  <si>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</si>
  <si>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</si>
  <si>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</si>
  <si>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</si>
  <si>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</si>
  <si>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</si>
  <si>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</si>
  <si>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</si>
  <si>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</si>
  <si>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</si>
  <si>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</si>
  <si>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</si>
  <si>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</si>
  <si>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</si>
  <si>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</si>
  <si>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</si>
  <si>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</si>
  <si>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</si>
  <si>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</si>
  <si>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</si>
  <si>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</si>
  <si>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</si>
  <si>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</si>
  <si>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</si>
  <si>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</si>
  <si>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</si>
  <si>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</si>
  <si>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</si>
  <si>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</si>
  <si>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</si>
  <si>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</si>
  <si>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</si>
  <si>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</si>
  <si>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</si>
  <si>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</si>
  <si>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</si>
  <si>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</si>
  <si>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</si>
  <si>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</si>
  <si>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</si>
  <si>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</si>
  <si>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</si>
  <si>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</si>
  <si>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</si>
  <si>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</si>
  <si>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</si>
  <si>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</si>
  <si>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</si>
  <si>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</si>
  <si>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</si>
  <si>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</si>
  <si>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</si>
  <si>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</si>
  <si>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</si>
  <si>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</si>
  <si>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</si>
  <si>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</si>
  <si>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</si>
  <si>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</si>
  <si>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</si>
  <si>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</si>
  <si>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</si>
  <si>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</si>
  <si>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</si>
  <si>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</si>
  <si>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</si>
  <si>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</si>
  <si>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</si>
  <si>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</si>
  <si>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</si>
  <si>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</si>
  <si>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</si>
  <si>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</si>
  <si>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</si>
  <si>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</si>
  <si>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</si>
  <si>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</si>
  <si>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</si>
  <si>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</si>
  <si>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</si>
  <si>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</si>
  <si>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</si>
  <si>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</si>
  <si>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</si>
  <si>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</si>
  <si>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</si>
  <si>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</si>
  <si>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</si>
  <si>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</si>
  <si>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</si>
  <si>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</si>
  <si>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</si>
  <si>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</si>
  <si>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</si>
  <si>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</si>
  <si>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</si>
  <si>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</si>
  <si>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</si>
  <si>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</si>
  <si>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</si>
  <si>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</si>
  <si>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</si>
  <si>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</si>
  <si>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</si>
  <si>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</si>
  <si>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</si>
  <si>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</si>
  <si>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</si>
  <si>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</si>
  <si>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</si>
  <si>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</si>
  <si>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</si>
  <si>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</si>
  <si>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</si>
  <si>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</si>
  <si>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</si>
  <si>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</si>
  <si>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</si>
  <si>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</si>
  <si>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</si>
  <si>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</si>
  <si>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</si>
  <si>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</si>
  <si>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</si>
  <si>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</si>
  <si>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</si>
  <si>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</si>
  <si>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</si>
  <si>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</si>
  <si>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</si>
  <si>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</si>
  <si>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</si>
  <si>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</si>
  <si>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</si>
  <si>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</si>
  <si>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</si>
  <si>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</si>
  <si>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</si>
  <si>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</si>
  <si>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</si>
  <si>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</si>
  <si>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</si>
  <si>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</si>
  <si>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</si>
  <si>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</si>
  <si>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</si>
  <si>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</si>
  <si>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</si>
  <si>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</si>
  <si>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</si>
  <si>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</si>
  <si>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</si>
  <si>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</si>
  <si>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</si>
  <si>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</si>
  <si>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</si>
  <si>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</si>
  <si>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</si>
  <si>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</si>
  <si>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</si>
  <si>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</si>
  <si>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</si>
  <si>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</si>
  <si>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</si>
  <si>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</si>
  <si>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</si>
  <si>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</si>
  <si>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</si>
  <si>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</si>
  <si>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</si>
  <si>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</si>
  <si>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</si>
  <si>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</si>
  <si>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</si>
  <si>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</si>
  <si>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</si>
  <si>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</si>
  <si>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</si>
  <si>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</si>
  <si>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</si>
  <si>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</si>
  <si>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</si>
  <si>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</si>
  <si>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</si>
  <si>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</si>
  <si>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</si>
  <si>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</si>
  <si>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</si>
  <si>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</si>
  <si>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</si>
  <si>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</si>
  <si>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</si>
  <si>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</si>
  <si>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Paid Conversion Rate by Segment: Control vs Treatment</t>
  </si>
  <si>
    <t xml:space="preserve">At least 3 metrics analyzed by segment, per assignment requirement. Shown here: Paid conversion rate, Onboarding completion rate, and Average engagement score, each cut by Region, Device Type, and Plan Type.</t>
  </si>
  <si>
    <t xml:space="preserve">Region</t>
  </si>
  <si>
    <t xml:space="preserve">Difference</t>
  </si>
  <si>
    <t xml:space="preserve">Device Type</t>
  </si>
  <si>
    <t xml:space="preserve">Plan Type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</si>
</sst>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0%"/>
    <numFmt numFmtId="168" formatCode="#,##0.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COUNTIF(Clean_Data!$C$2:$C$1401,"Control")</f>
        <v>690</v>
      </c>
      <c r="C5" s="6" t="n">
        <f aca="false">COUNTIF(Clean_Data!$C$2:$C$1401,"Treatment")</f>
        <v>710</v>
      </c>
      <c r="D5" s="6" t="n">
        <f aca="false">C5-B5</f>
        <v>20</v>
      </c>
      <c r="E5" s="7" t="n">
        <f aca="false">IF(B5=0,"N/A",(C5-B5)/B5)</f>
        <v>0.0289855072463768</v>
      </c>
    </row>
    <row r="6" customFormat="false" ht="15" hidden="false" customHeight="false" outlineLevel="0" collapsed="false">
      <c r="A6" s="5" t="s">
        <v>8</v>
      </c>
      <c r="B6" s="8" t="n">
        <f aca="false">AVERAGEIFS(Clean_Data!$H$2:$H$1401,Clean_Data!$C$2:$C$1401,"Control")</f>
        <v>0.636231884057971</v>
      </c>
      <c r="C6" s="8" t="n">
        <f aca="false">AVERAGEIFS(Clean_Data!$H$2:$H$1401,Clean_Data!$C$2:$C$1401,"Treatment")</f>
        <v>0.723943661971831</v>
      </c>
      <c r="D6" s="8" t="n">
        <f aca="false">C6-B6</f>
        <v>0.08771177791386</v>
      </c>
      <c r="E6" s="7" t="n">
        <f aca="false">IF(B6=0,"N/A",(C6-B6)/B6)</f>
        <v>0.137861336584427</v>
      </c>
    </row>
    <row r="7" customFormat="false" ht="15" hidden="false" customHeight="false" outlineLevel="0" collapsed="false">
      <c r="A7" s="5" t="s">
        <v>9</v>
      </c>
      <c r="B7" s="8" t="n">
        <f aca="false">AVERAGEIFS(Clean_Data!$I$2:$I$1401,Clean_Data!$C$2:$C$1401,"Control")</f>
        <v>0.250724637681159</v>
      </c>
      <c r="C7" s="8" t="n">
        <f aca="false">AVERAGEIFS(Clean_Data!$I$2:$I$1401,Clean_Data!$C$2:$C$1401,"Treatment")</f>
        <v>0.290140845070423</v>
      </c>
      <c r="D7" s="8" t="n">
        <f aca="false">C7-B7</f>
        <v>0.0394162073892631</v>
      </c>
      <c r="E7" s="7" t="n">
        <f aca="false">IF(B7=0,"N/A",(C7-B7)/B7)</f>
        <v>0.157209150858911</v>
      </c>
    </row>
    <row r="8" customFormat="false" ht="15" hidden="false" customHeight="false" outlineLevel="0" collapsed="false">
      <c r="A8" s="5" t="s">
        <v>10</v>
      </c>
      <c r="B8" s="8" t="n">
        <f aca="false">AVERAGEIFS(Clean_Data!$J$2:$J$1401,Clean_Data!$C$2:$C$1401,"Control")</f>
        <v>0.156521739130435</v>
      </c>
      <c r="C8" s="8" t="n">
        <f aca="false">AVERAGEIFS(Clean_Data!$J$2:$J$1401,Clean_Data!$C$2:$C$1401,"Treatment")</f>
        <v>0.211267605633803</v>
      </c>
      <c r="D8" s="8" t="n">
        <f aca="false">C8-B8</f>
        <v>0.054745866503368</v>
      </c>
      <c r="E8" s="7" t="n">
        <f aca="false">IF(B8=0,"N/A",(C8-B8)/B8)</f>
        <v>0.349765258215962</v>
      </c>
    </row>
    <row r="9" customFormat="false" ht="15" hidden="false" customHeight="false" outlineLevel="0" collapsed="false">
      <c r="A9" s="5" t="s">
        <v>11</v>
      </c>
      <c r="B9" s="8" t="n">
        <f aca="false">AVERAGEIFS(Clean_Data!$K$2:$K$1401,Clean_Data!$C$2:$C$1401,"Control")</f>
        <v>0.0318840579710145</v>
      </c>
      <c r="C9" s="8" t="n">
        <f aca="false">AVERAGEIFS(Clean_Data!$K$2:$K$1401,Clean_Data!$C$2:$C$1401,"Treatment")</f>
        <v>0.0704225352112676</v>
      </c>
      <c r="D9" s="8" t="n">
        <f aca="false">C9-B9</f>
        <v>0.0385384772402531</v>
      </c>
      <c r="E9" s="7" t="n">
        <f aca="false">IF(B9=0,"N/A",(C9-B9)/B9)</f>
        <v>1.20870678617158</v>
      </c>
    </row>
    <row r="10" customFormat="false" ht="15" hidden="false" customHeight="false" outlineLevel="0" collapsed="false">
      <c r="A10" s="5" t="s">
        <v>12</v>
      </c>
      <c r="B10" s="9" t="n">
        <f aca="false">AVERAGEIFS(Clean_Data!$L$2:$L$1401,Clean_Data!$C$2:$C$1401,"Control")</f>
        <v>51.9743188405797</v>
      </c>
      <c r="C10" s="9" t="n">
        <f aca="false">AVERAGEIFS(Clean_Data!$L$2:$L$1401,Clean_Data!$C$2:$C$1401,"Treatment")</f>
        <v>54.2545211267606</v>
      </c>
      <c r="D10" s="9" t="n">
        <f aca="false">C10-B10</f>
        <v>2.28020228618086</v>
      </c>
      <c r="E10" s="7" t="n">
        <f aca="false">IF(B10=0,"N/A",(C10-B10)/B10)</f>
        <v>0.0438717108188546</v>
      </c>
    </row>
    <row r="11" customFormat="false" ht="15" hidden="false" customHeight="false" outlineLevel="0" collapsed="false">
      <c r="A11" s="5" t="s">
        <v>13</v>
      </c>
      <c r="B11" s="9" t="n">
        <f aca="false">SUMIFS(Clean_Data!$L$2:$L$1401,Clean_Data!$C$2:$C$1401,"Control",Clean_Data!$K$2:$K$1401,1)/COUNTIFS(Clean_Data!$C$2:$C$1401,"Control",Clean_Data!$K$2:$K$1401,1)</f>
        <v>1630.10363636364</v>
      </c>
      <c r="C11" s="9" t="n">
        <f aca="false">SUMIFS(Clean_Data!$L$2:$L$1401,Clean_Data!$C$2:$C$1401,"Treatment",Clean_Data!$K$2:$K$1401,1)/COUNTIFS(Clean_Data!$C$2:$C$1401,"Treatment",Clean_Data!$K$2:$K$1401,1)</f>
        <v>770.4142</v>
      </c>
      <c r="D11" s="9" t="n">
        <f aca="false">C11-B11</f>
        <v>-859.689436363636</v>
      </c>
      <c r="E11" s="7" t="n">
        <f aca="false">IF(B11=0,"N/A",(C11-B11)/B11)</f>
        <v>-0.527383300782884</v>
      </c>
    </row>
    <row r="12" customFormat="false" ht="15" hidden="false" customHeight="false" outlineLevel="0" collapsed="false">
      <c r="A12" s="5" t="s">
        <v>14</v>
      </c>
      <c r="B12" s="8" t="n">
        <f aca="false">AVERAGEIFS(Clean_Data!$N$2:$N$1401,Clean_Data!$C$2:$C$1401,"Control")</f>
        <v>0</v>
      </c>
      <c r="C12" s="8" t="n">
        <f aca="false">AVERAGEIFS(Clean_Data!$N$2:$N$1401,Clean_Data!$C$2:$C$1401,"Treatment")</f>
        <v>0.00422535211267606</v>
      </c>
      <c r="D12" s="8" t="n">
        <f aca="false">C12-B12</f>
        <v>0.00422535211267606</v>
      </c>
      <c r="E12" s="7" t="str">
        <f aca="false">IF(B12=0,"N/A",(C12-B12)/B12)</f>
        <v>N/A</v>
      </c>
    </row>
    <row r="13" customFormat="false" ht="15" hidden="false" customHeight="false" outlineLevel="0" collapsed="false">
      <c r="A13" s="5" t="s">
        <v>15</v>
      </c>
      <c r="B13" s="8" t="n">
        <f aca="false">COUNTIFS(Clean_Data!$C$2:$C$1401,"Control",Clean_Data!$M$2:$M$1401,"&gt;0")/COUNTIF(Clean_Data!$C$2:$C$1401,"Control")</f>
        <v>0.147826086956522</v>
      </c>
      <c r="C13" s="8" t="n">
        <f aca="false">COUNTIFS(Clean_Data!$C$2:$C$1401,"Treatment",Clean_Data!$M$2:$M$1401,"&gt;0")/COUNTIF(Clean_Data!$C$2:$C$1401,"Treatment")</f>
        <v>0.247887323943662</v>
      </c>
      <c r="D13" s="8" t="n">
        <f aca="false">C13-B13</f>
        <v>0.10006123698714</v>
      </c>
      <c r="E13" s="7" t="n">
        <f aca="false">IF(B13=0,"N/A",(C13-B13)/B13)</f>
        <v>0.676884838442419</v>
      </c>
    </row>
    <row r="14" customFormat="false" ht="15" hidden="false" customHeight="false" outlineLevel="0" collapsed="false">
      <c r="A14" s="5" t="s">
        <v>16</v>
      </c>
      <c r="B14" s="9" t="n">
        <f aca="false">AVERAGEIFS(Clean_Data!$P$2:$P$1401,Clean_Data!$C$2:$C$1401,"Control")</f>
        <v>57.0295321637427</v>
      </c>
      <c r="C14" s="9" t="n">
        <f aca="false">AVERAGEIFS(Clean_Data!$P$2:$P$1401,Clean_Data!$C$2:$C$1401,"Treatment")</f>
        <v>62.9400284900285</v>
      </c>
      <c r="D14" s="9" t="n">
        <f aca="false">C14-B14</f>
        <v>5.9104963262858</v>
      </c>
      <c r="E14" s="7" t="n">
        <f aca="false">IF(B14=0,"N/A",(C14-B14)/B14)</f>
        <v>0.103639221681069</v>
      </c>
    </row>
    <row r="15" customFormat="false" ht="15" hidden="false" customHeight="false" outlineLevel="0" collapsed="false">
      <c r="A15" s="5" t="s">
        <v>17</v>
      </c>
      <c r="B15" s="9" t="n">
        <f aca="false">AVERAGEIFS(Clean_Data!$O$2:$O$1401,Clean_Data!$C$2:$C$1401,"Control",Clean_Data!$K$2:$K$1401,1)</f>
        <v>8.86363636363636</v>
      </c>
      <c r="C15" s="9" t="n">
        <f aca="false">AVERAGEIFS(Clean_Data!$O$2:$O$1401,Clean_Data!$C$2:$C$1401,"Treatment",Clean_Data!$K$2:$K$1401,1)</f>
        <v>6.4</v>
      </c>
      <c r="D15" s="9" t="n">
        <f aca="false">C15-B15</f>
        <v>-2.46363636363636</v>
      </c>
      <c r="E15" s="7" t="n">
        <f aca="false">IF(B15=0,"N/A",(C15-B15)/B15)</f>
        <v>-0.277948717948718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3"/>
  </cols>
  <sheetData>
    <row r="1" customFormat="false" ht="15" hidden="false" customHeight="fals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</row>
    <row r="2" customFormat="false" ht="15" hidden="false" customHeight="false" outlineLevel="0" collapsed="false">
      <c r="A2" s="3" t="s">
        <v>34</v>
      </c>
      <c r="B2" s="3" t="s">
        <v>35</v>
      </c>
      <c r="C2" s="3" t="s">
        <v>3</v>
      </c>
      <c r="D2" s="3" t="s">
        <v>36</v>
      </c>
      <c r="E2" s="3" t="s">
        <v>37</v>
      </c>
      <c r="F2" s="3" t="s">
        <v>38</v>
      </c>
      <c r="G2" s="3" t="s">
        <v>39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40</v>
      </c>
      <c r="B3" s="3" t="s">
        <v>41</v>
      </c>
      <c r="C3" s="3" t="s">
        <v>3</v>
      </c>
      <c r="D3" s="3" t="s">
        <v>42</v>
      </c>
      <c r="E3" s="3" t="s">
        <v>43</v>
      </c>
      <c r="F3" s="3" t="s">
        <v>44</v>
      </c>
      <c r="G3" s="3" t="s">
        <v>45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3</v>
      </c>
      <c r="D4" s="3" t="s">
        <v>48</v>
      </c>
      <c r="E4" s="3" t="s">
        <v>43</v>
      </c>
      <c r="F4" s="3" t="s">
        <v>49</v>
      </c>
      <c r="G4" s="3" t="s">
        <v>50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51</v>
      </c>
      <c r="B5" s="3" t="s">
        <v>52</v>
      </c>
      <c r="C5" s="3" t="s">
        <v>3</v>
      </c>
      <c r="D5" s="3" t="s">
        <v>53</v>
      </c>
      <c r="E5" s="3" t="s">
        <v>43</v>
      </c>
      <c r="F5" s="3" t="s">
        <v>38</v>
      </c>
      <c r="G5" s="3" t="s">
        <v>39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54</v>
      </c>
      <c r="B6" s="3" t="s">
        <v>55</v>
      </c>
      <c r="C6" s="3" t="s">
        <v>3</v>
      </c>
      <c r="D6" s="3" t="s">
        <v>36</v>
      </c>
      <c r="E6" s="3" t="s">
        <v>56</v>
      </c>
      <c r="F6" s="3" t="s">
        <v>44</v>
      </c>
      <c r="G6" s="3" t="s">
        <v>45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57</v>
      </c>
      <c r="B7" s="3" t="s">
        <v>58</v>
      </c>
      <c r="C7" s="3" t="s">
        <v>3</v>
      </c>
      <c r="D7" s="3" t="s">
        <v>48</v>
      </c>
      <c r="E7" s="3" t="s">
        <v>43</v>
      </c>
      <c r="F7" s="3" t="s">
        <v>44</v>
      </c>
      <c r="G7" s="3" t="s">
        <v>50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59</v>
      </c>
      <c r="B8" s="3" t="s">
        <v>60</v>
      </c>
      <c r="C8" s="3" t="s">
        <v>3</v>
      </c>
      <c r="D8" s="3" t="s">
        <v>48</v>
      </c>
      <c r="E8" s="3" t="s">
        <v>43</v>
      </c>
      <c r="F8" s="3" t="s">
        <v>49</v>
      </c>
      <c r="G8" s="3" t="s">
        <v>39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61</v>
      </c>
      <c r="B9" s="3" t="s">
        <v>62</v>
      </c>
      <c r="C9" s="3" t="s">
        <v>3</v>
      </c>
      <c r="D9" s="3" t="s">
        <v>53</v>
      </c>
      <c r="E9" s="3" t="s">
        <v>43</v>
      </c>
      <c r="F9" s="3" t="s">
        <v>49</v>
      </c>
      <c r="G9" s="3" t="s">
        <v>45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63</v>
      </c>
      <c r="B10" s="3" t="s">
        <v>64</v>
      </c>
      <c r="C10" s="3" t="s">
        <v>3</v>
      </c>
      <c r="D10" s="3" t="s">
        <v>53</v>
      </c>
      <c r="E10" s="3" t="s">
        <v>56</v>
      </c>
      <c r="F10" s="3" t="s">
        <v>65</v>
      </c>
      <c r="G10" s="3" t="s">
        <v>39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66</v>
      </c>
      <c r="B11" s="3" t="s">
        <v>67</v>
      </c>
      <c r="C11" s="3" t="s">
        <v>3</v>
      </c>
      <c r="D11" s="3" t="s">
        <v>42</v>
      </c>
      <c r="E11" s="3" t="s">
        <v>37</v>
      </c>
      <c r="F11" s="3" t="s">
        <v>68</v>
      </c>
      <c r="G11" s="3" t="s">
        <v>45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69</v>
      </c>
      <c r="B12" s="3" t="s">
        <v>70</v>
      </c>
      <c r="C12" s="3" t="s">
        <v>3</v>
      </c>
      <c r="D12" s="3" t="s">
        <v>48</v>
      </c>
      <c r="E12" s="3" t="s">
        <v>43</v>
      </c>
      <c r="F12" s="3" t="s">
        <v>49</v>
      </c>
      <c r="G12" s="3" t="s">
        <v>39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71</v>
      </c>
      <c r="B13" s="3" t="s">
        <v>35</v>
      </c>
      <c r="C13" s="3" t="s">
        <v>3</v>
      </c>
      <c r="D13" s="3" t="s">
        <v>48</v>
      </c>
      <c r="E13" s="3" t="s">
        <v>43</v>
      </c>
      <c r="F13" s="3" t="s">
        <v>68</v>
      </c>
      <c r="G13" s="3" t="s">
        <v>50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72</v>
      </c>
      <c r="B14" s="3" t="s">
        <v>73</v>
      </c>
      <c r="C14" s="3" t="s">
        <v>3</v>
      </c>
      <c r="D14" s="3" t="s">
        <v>53</v>
      </c>
      <c r="E14" s="3" t="s">
        <v>37</v>
      </c>
      <c r="F14" s="3" t="s">
        <v>38</v>
      </c>
      <c r="G14" s="3" t="s">
        <v>39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74</v>
      </c>
      <c r="B15" s="3" t="s">
        <v>75</v>
      </c>
      <c r="C15" s="3" t="s">
        <v>3</v>
      </c>
      <c r="D15" s="3" t="s">
        <v>42</v>
      </c>
      <c r="E15" s="3" t="s">
        <v>43</v>
      </c>
      <c r="F15" s="3" t="s">
        <v>68</v>
      </c>
      <c r="G15" s="3" t="s">
        <v>39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76</v>
      </c>
      <c r="B16" s="3" t="s">
        <v>77</v>
      </c>
      <c r="C16" s="3" t="s">
        <v>3</v>
      </c>
      <c r="D16" s="3" t="s">
        <v>53</v>
      </c>
      <c r="E16" s="3" t="s">
        <v>43</v>
      </c>
      <c r="F16" s="3" t="s">
        <v>44</v>
      </c>
      <c r="G16" s="3" t="s">
        <v>39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78</v>
      </c>
      <c r="B17" s="3" t="s">
        <v>79</v>
      </c>
      <c r="C17" s="3" t="s">
        <v>3</v>
      </c>
      <c r="D17" s="3" t="s">
        <v>53</v>
      </c>
      <c r="E17" s="3" t="s">
        <v>43</v>
      </c>
      <c r="F17" s="3" t="s">
        <v>68</v>
      </c>
      <c r="G17" s="3" t="s">
        <v>39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80</v>
      </c>
      <c r="B18" s="3" t="s">
        <v>81</v>
      </c>
      <c r="C18" s="3" t="s">
        <v>3</v>
      </c>
      <c r="D18" s="3" t="s">
        <v>48</v>
      </c>
      <c r="E18" s="3" t="s">
        <v>37</v>
      </c>
      <c r="F18" s="3" t="s">
        <v>49</v>
      </c>
      <c r="G18" s="3" t="s">
        <v>45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82</v>
      </c>
      <c r="B19" s="3" t="s">
        <v>83</v>
      </c>
      <c r="C19" s="3" t="s">
        <v>3</v>
      </c>
      <c r="D19" s="3" t="s">
        <v>53</v>
      </c>
      <c r="E19" s="3" t="s">
        <v>37</v>
      </c>
      <c r="F19" s="3" t="s">
        <v>49</v>
      </c>
      <c r="G19" s="3" t="s">
        <v>45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84</v>
      </c>
      <c r="B20" s="3" t="s">
        <v>85</v>
      </c>
      <c r="C20" s="3" t="s">
        <v>3</v>
      </c>
      <c r="D20" s="3" t="s">
        <v>36</v>
      </c>
      <c r="E20" s="3" t="s">
        <v>37</v>
      </c>
      <c r="F20" s="3" t="s">
        <v>49</v>
      </c>
      <c r="G20" s="3" t="s">
        <v>39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86</v>
      </c>
      <c r="B21" s="3" t="s">
        <v>87</v>
      </c>
      <c r="C21" s="3" t="s">
        <v>3</v>
      </c>
      <c r="D21" s="3" t="s">
        <v>42</v>
      </c>
      <c r="E21" s="3" t="s">
        <v>37</v>
      </c>
      <c r="F21" s="3" t="s">
        <v>44</v>
      </c>
      <c r="G21" s="3" t="s">
        <v>39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88</v>
      </c>
      <c r="B22" s="3" t="s">
        <v>89</v>
      </c>
      <c r="C22" s="3" t="s">
        <v>3</v>
      </c>
      <c r="D22" s="3" t="s">
        <v>48</v>
      </c>
      <c r="E22" s="3" t="s">
        <v>43</v>
      </c>
      <c r="F22" s="3" t="s">
        <v>68</v>
      </c>
      <c r="G22" s="3" t="s">
        <v>45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90</v>
      </c>
      <c r="B23" s="3" t="s">
        <v>91</v>
      </c>
      <c r="C23" s="3" t="s">
        <v>3</v>
      </c>
      <c r="D23" s="3" t="s">
        <v>36</v>
      </c>
      <c r="E23" s="3" t="s">
        <v>37</v>
      </c>
      <c r="F23" s="3" t="s">
        <v>49</v>
      </c>
      <c r="G23" s="3" t="s">
        <v>45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92</v>
      </c>
      <c r="B24" s="3" t="s">
        <v>93</v>
      </c>
      <c r="C24" s="3" t="s">
        <v>3</v>
      </c>
      <c r="D24" s="3" t="s">
        <v>36</v>
      </c>
      <c r="E24" s="3" t="s">
        <v>37</v>
      </c>
      <c r="F24" s="3" t="s">
        <v>44</v>
      </c>
      <c r="G24" s="3" t="s">
        <v>45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94</v>
      </c>
      <c r="B25" s="3" t="s">
        <v>95</v>
      </c>
      <c r="C25" s="3" t="s">
        <v>3</v>
      </c>
      <c r="D25" s="3" t="s">
        <v>48</v>
      </c>
      <c r="E25" s="3" t="s">
        <v>43</v>
      </c>
      <c r="F25" s="3" t="s">
        <v>49</v>
      </c>
      <c r="G25" s="3" t="s">
        <v>50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96</v>
      </c>
      <c r="B26" s="3" t="s">
        <v>97</v>
      </c>
      <c r="C26" s="3" t="s">
        <v>3</v>
      </c>
      <c r="D26" s="3" t="s">
        <v>36</v>
      </c>
      <c r="E26" s="3" t="s">
        <v>43</v>
      </c>
      <c r="F26" s="3" t="s">
        <v>49</v>
      </c>
      <c r="G26" s="3" t="s">
        <v>50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98</v>
      </c>
      <c r="B27" s="3" t="s">
        <v>99</v>
      </c>
      <c r="C27" s="3" t="s">
        <v>3</v>
      </c>
      <c r="D27" s="3" t="s">
        <v>48</v>
      </c>
      <c r="E27" s="3" t="s">
        <v>43</v>
      </c>
      <c r="F27" s="3" t="s">
        <v>44</v>
      </c>
      <c r="G27" s="3" t="s">
        <v>39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100</v>
      </c>
      <c r="B28" s="3" t="s">
        <v>101</v>
      </c>
      <c r="C28" s="3" t="s">
        <v>3</v>
      </c>
      <c r="D28" s="3" t="s">
        <v>36</v>
      </c>
      <c r="E28" s="3" t="s">
        <v>43</v>
      </c>
      <c r="F28" s="3" t="s">
        <v>44</v>
      </c>
      <c r="G28" s="3" t="s">
        <v>45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102</v>
      </c>
      <c r="B29" s="3" t="s">
        <v>77</v>
      </c>
      <c r="C29" s="3" t="s">
        <v>3</v>
      </c>
      <c r="D29" s="3" t="s">
        <v>53</v>
      </c>
      <c r="E29" s="3" t="s">
        <v>43</v>
      </c>
      <c r="F29" s="3" t="s">
        <v>44</v>
      </c>
      <c r="G29" s="3" t="s">
        <v>45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103</v>
      </c>
      <c r="B30" s="3" t="s">
        <v>104</v>
      </c>
      <c r="C30" s="3" t="s">
        <v>3</v>
      </c>
      <c r="D30" s="3" t="s">
        <v>48</v>
      </c>
      <c r="E30" s="3" t="s">
        <v>56</v>
      </c>
      <c r="F30" s="3" t="s">
        <v>44</v>
      </c>
      <c r="G30" s="3" t="s">
        <v>39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105</v>
      </c>
      <c r="B31" s="3" t="s">
        <v>106</v>
      </c>
      <c r="C31" s="3" t="s">
        <v>3</v>
      </c>
      <c r="D31" s="3" t="s">
        <v>48</v>
      </c>
      <c r="E31" s="3" t="s">
        <v>43</v>
      </c>
      <c r="F31" s="3" t="s">
        <v>68</v>
      </c>
      <c r="G31" s="3" t="s">
        <v>39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107</v>
      </c>
      <c r="B32" s="3" t="s">
        <v>108</v>
      </c>
      <c r="C32" s="3" t="s">
        <v>3</v>
      </c>
      <c r="D32" s="3" t="s">
        <v>53</v>
      </c>
      <c r="E32" s="3" t="s">
        <v>43</v>
      </c>
      <c r="F32" s="3" t="s">
        <v>44</v>
      </c>
      <c r="G32" s="3" t="s">
        <v>39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109</v>
      </c>
      <c r="B33" s="3" t="s">
        <v>101</v>
      </c>
      <c r="C33" s="3" t="s">
        <v>3</v>
      </c>
      <c r="D33" s="3" t="s">
        <v>48</v>
      </c>
      <c r="E33" s="3" t="s">
        <v>43</v>
      </c>
      <c r="F33" s="3" t="s">
        <v>44</v>
      </c>
      <c r="G33" s="3" t="s">
        <v>45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110</v>
      </c>
      <c r="B34" s="3" t="s">
        <v>41</v>
      </c>
      <c r="C34" s="3" t="s">
        <v>3</v>
      </c>
      <c r="D34" s="3" t="s">
        <v>48</v>
      </c>
      <c r="E34" s="3" t="s">
        <v>37</v>
      </c>
      <c r="F34" s="3" t="s">
        <v>65</v>
      </c>
      <c r="G34" s="3" t="s">
        <v>50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111</v>
      </c>
      <c r="B35" s="3" t="s">
        <v>112</v>
      </c>
      <c r="C35" s="3" t="s">
        <v>3</v>
      </c>
      <c r="D35" s="3" t="s">
        <v>36</v>
      </c>
      <c r="E35" s="3" t="s">
        <v>43</v>
      </c>
      <c r="F35" s="3" t="s">
        <v>49</v>
      </c>
      <c r="G35" s="3" t="s">
        <v>45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113</v>
      </c>
      <c r="B36" s="3" t="s">
        <v>55</v>
      </c>
      <c r="C36" s="3" t="s">
        <v>3</v>
      </c>
      <c r="D36" s="3" t="s">
        <v>36</v>
      </c>
      <c r="E36" s="3" t="s">
        <v>37</v>
      </c>
      <c r="F36" s="3" t="s">
        <v>44</v>
      </c>
      <c r="G36" s="3" t="s">
        <v>45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114</v>
      </c>
      <c r="B37" s="3" t="s">
        <v>89</v>
      </c>
      <c r="C37" s="3" t="s">
        <v>3</v>
      </c>
      <c r="D37" s="3" t="s">
        <v>48</v>
      </c>
      <c r="E37" s="3" t="s">
        <v>37</v>
      </c>
      <c r="F37" s="3" t="s">
        <v>44</v>
      </c>
      <c r="G37" s="3" t="s">
        <v>39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115</v>
      </c>
      <c r="B38" s="3" t="s">
        <v>116</v>
      </c>
      <c r="C38" s="3" t="s">
        <v>3</v>
      </c>
      <c r="D38" s="3" t="s">
        <v>48</v>
      </c>
      <c r="E38" s="3" t="s">
        <v>43</v>
      </c>
      <c r="F38" s="3" t="s">
        <v>44</v>
      </c>
      <c r="G38" s="3" t="s">
        <v>50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117</v>
      </c>
      <c r="B39" s="3" t="s">
        <v>104</v>
      </c>
      <c r="C39" s="3" t="s">
        <v>3</v>
      </c>
      <c r="D39" s="3" t="s">
        <v>48</v>
      </c>
      <c r="E39" s="3" t="s">
        <v>43</v>
      </c>
      <c r="F39" s="3" t="s">
        <v>44</v>
      </c>
      <c r="G39" s="3" t="s">
        <v>45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118</v>
      </c>
      <c r="B40" s="3" t="s">
        <v>119</v>
      </c>
      <c r="C40" s="3" t="s">
        <v>3</v>
      </c>
      <c r="D40" s="3" t="s">
        <v>48</v>
      </c>
      <c r="E40" s="3" t="s">
        <v>43</v>
      </c>
      <c r="F40" s="3" t="s">
        <v>38</v>
      </c>
      <c r="G40" s="3" t="s">
        <v>50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120</v>
      </c>
      <c r="B41" s="3" t="s">
        <v>121</v>
      </c>
      <c r="C41" s="3" t="s">
        <v>3</v>
      </c>
      <c r="D41" s="3" t="s">
        <v>36</v>
      </c>
      <c r="E41" s="3" t="s">
        <v>37</v>
      </c>
      <c r="F41" s="3" t="s">
        <v>44</v>
      </c>
      <c r="G41" s="3" t="s">
        <v>39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122</v>
      </c>
      <c r="B42" s="3" t="s">
        <v>123</v>
      </c>
      <c r="C42" s="3" t="s">
        <v>3</v>
      </c>
      <c r="D42" s="3" t="s">
        <v>36</v>
      </c>
      <c r="E42" s="3" t="s">
        <v>37</v>
      </c>
      <c r="F42" s="3" t="s">
        <v>44</v>
      </c>
      <c r="G42" s="3" t="s">
        <v>45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124</v>
      </c>
      <c r="B43" s="3" t="s">
        <v>125</v>
      </c>
      <c r="C43" s="3" t="s">
        <v>3</v>
      </c>
      <c r="D43" s="3" t="s">
        <v>48</v>
      </c>
      <c r="E43" s="3" t="s">
        <v>43</v>
      </c>
      <c r="F43" s="3" t="s">
        <v>38</v>
      </c>
      <c r="G43" s="3" t="s">
        <v>50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126</v>
      </c>
      <c r="B44" s="3" t="s">
        <v>127</v>
      </c>
      <c r="C44" s="3" t="s">
        <v>3</v>
      </c>
      <c r="D44" s="3" t="s">
        <v>53</v>
      </c>
      <c r="E44" s="3" t="s">
        <v>37</v>
      </c>
      <c r="F44" s="3" t="s">
        <v>44</v>
      </c>
      <c r="G44" s="3" t="s">
        <v>45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128</v>
      </c>
      <c r="B45" s="3" t="s">
        <v>129</v>
      </c>
      <c r="C45" s="3" t="s">
        <v>3</v>
      </c>
      <c r="D45" s="3" t="s">
        <v>48</v>
      </c>
      <c r="E45" s="3" t="s">
        <v>43</v>
      </c>
      <c r="F45" s="3" t="s">
        <v>38</v>
      </c>
      <c r="G45" s="3" t="s">
        <v>45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130</v>
      </c>
      <c r="B46" s="3" t="s">
        <v>131</v>
      </c>
      <c r="C46" s="3" t="s">
        <v>3</v>
      </c>
      <c r="D46" s="3" t="s">
        <v>48</v>
      </c>
      <c r="E46" s="3" t="s">
        <v>43</v>
      </c>
      <c r="F46" s="3" t="s">
        <v>68</v>
      </c>
      <c r="G46" s="3" t="s">
        <v>45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132</v>
      </c>
      <c r="B47" s="3" t="s">
        <v>93</v>
      </c>
      <c r="C47" s="3" t="s">
        <v>3</v>
      </c>
      <c r="D47" s="3" t="s">
        <v>48</v>
      </c>
      <c r="E47" s="3" t="s">
        <v>43</v>
      </c>
      <c r="F47" s="3" t="s">
        <v>65</v>
      </c>
      <c r="G47" s="3" t="s">
        <v>50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133</v>
      </c>
      <c r="B48" s="3" t="s">
        <v>87</v>
      </c>
      <c r="C48" s="3" t="s">
        <v>3</v>
      </c>
      <c r="D48" s="3" t="s">
        <v>42</v>
      </c>
      <c r="E48" s="3" t="s">
        <v>37</v>
      </c>
      <c r="F48" s="3" t="s">
        <v>44</v>
      </c>
      <c r="G48" s="3" t="s">
        <v>45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134</v>
      </c>
      <c r="B49" s="3" t="s">
        <v>135</v>
      </c>
      <c r="C49" s="3" t="s">
        <v>3</v>
      </c>
      <c r="D49" s="3" t="s">
        <v>36</v>
      </c>
      <c r="E49" s="3" t="s">
        <v>43</v>
      </c>
      <c r="F49" s="3" t="s">
        <v>44</v>
      </c>
      <c r="G49" s="3" t="s">
        <v>45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136</v>
      </c>
      <c r="B50" s="3" t="s">
        <v>137</v>
      </c>
      <c r="C50" s="3" t="s">
        <v>3</v>
      </c>
      <c r="D50" s="3" t="s">
        <v>36</v>
      </c>
      <c r="E50" s="3" t="s">
        <v>43</v>
      </c>
      <c r="F50" s="3" t="s">
        <v>68</v>
      </c>
      <c r="G50" s="3" t="s">
        <v>45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138</v>
      </c>
      <c r="B51" s="3" t="s">
        <v>139</v>
      </c>
      <c r="C51" s="3" t="s">
        <v>3</v>
      </c>
      <c r="D51" s="3" t="s">
        <v>42</v>
      </c>
      <c r="E51" s="3" t="s">
        <v>37</v>
      </c>
      <c r="F51" s="3" t="s">
        <v>49</v>
      </c>
      <c r="G51" s="3" t="s">
        <v>45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140</v>
      </c>
      <c r="B52" s="3" t="s">
        <v>141</v>
      </c>
      <c r="C52" s="3" t="s">
        <v>3</v>
      </c>
      <c r="D52" s="3" t="s">
        <v>36</v>
      </c>
      <c r="E52" s="3" t="s">
        <v>43</v>
      </c>
      <c r="F52" s="3" t="s">
        <v>68</v>
      </c>
      <c r="G52" s="3" t="s">
        <v>39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142</v>
      </c>
      <c r="B53" s="3" t="s">
        <v>127</v>
      </c>
      <c r="C53" s="3" t="s">
        <v>3</v>
      </c>
      <c r="D53" s="3" t="s">
        <v>48</v>
      </c>
      <c r="E53" s="3" t="s">
        <v>37</v>
      </c>
      <c r="F53" s="3" t="s">
        <v>38</v>
      </c>
      <c r="G53" s="3" t="s">
        <v>50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143</v>
      </c>
      <c r="B54" s="3" t="s">
        <v>144</v>
      </c>
      <c r="C54" s="3" t="s">
        <v>3</v>
      </c>
      <c r="D54" s="3" t="s">
        <v>53</v>
      </c>
      <c r="E54" s="3" t="s">
        <v>56</v>
      </c>
      <c r="F54" s="3" t="s">
        <v>44</v>
      </c>
      <c r="G54" s="3" t="s">
        <v>45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145</v>
      </c>
      <c r="B55" s="3" t="s">
        <v>146</v>
      </c>
      <c r="C55" s="3" t="s">
        <v>3</v>
      </c>
      <c r="D55" s="3" t="s">
        <v>42</v>
      </c>
      <c r="E55" s="3" t="s">
        <v>37</v>
      </c>
      <c r="F55" s="3" t="s">
        <v>44</v>
      </c>
      <c r="G55" s="3" t="s">
        <v>39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147</v>
      </c>
      <c r="B56" s="3" t="s">
        <v>148</v>
      </c>
      <c r="C56" s="3" t="s">
        <v>3</v>
      </c>
      <c r="D56" s="3" t="s">
        <v>53</v>
      </c>
      <c r="E56" s="3" t="s">
        <v>43</v>
      </c>
      <c r="F56" s="3" t="s">
        <v>44</v>
      </c>
      <c r="G56" s="3" t="s">
        <v>45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149</v>
      </c>
      <c r="B57" s="3" t="s">
        <v>62</v>
      </c>
      <c r="C57" s="3" t="s">
        <v>3</v>
      </c>
      <c r="D57" s="3" t="s">
        <v>53</v>
      </c>
      <c r="E57" s="3" t="s">
        <v>43</v>
      </c>
      <c r="F57" s="3" t="s">
        <v>68</v>
      </c>
      <c r="G57" s="3" t="s">
        <v>39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150</v>
      </c>
      <c r="B58" s="3" t="s">
        <v>95</v>
      </c>
      <c r="C58" s="3" t="s">
        <v>3</v>
      </c>
      <c r="D58" s="3" t="s">
        <v>48</v>
      </c>
      <c r="E58" s="3" t="s">
        <v>43</v>
      </c>
      <c r="F58" s="3" t="s">
        <v>68</v>
      </c>
      <c r="G58" s="3" t="s">
        <v>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151</v>
      </c>
      <c r="B59" s="3" t="s">
        <v>152</v>
      </c>
      <c r="C59" s="3" t="s">
        <v>3</v>
      </c>
      <c r="D59" s="3" t="s">
        <v>36</v>
      </c>
      <c r="E59" s="3" t="s">
        <v>37</v>
      </c>
      <c r="F59" s="3" t="s">
        <v>44</v>
      </c>
      <c r="G59" s="3" t="s">
        <v>45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153</v>
      </c>
      <c r="B60" s="3" t="s">
        <v>154</v>
      </c>
      <c r="C60" s="3" t="s">
        <v>3</v>
      </c>
      <c r="D60" s="3" t="s">
        <v>36</v>
      </c>
      <c r="E60" s="3" t="s">
        <v>43</v>
      </c>
      <c r="F60" s="3" t="s">
        <v>68</v>
      </c>
      <c r="G60" s="3" t="s">
        <v>45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155</v>
      </c>
      <c r="B61" s="3" t="s">
        <v>156</v>
      </c>
      <c r="C61" s="3" t="s">
        <v>3</v>
      </c>
      <c r="D61" s="3" t="s">
        <v>42</v>
      </c>
      <c r="E61" s="3" t="s">
        <v>43</v>
      </c>
      <c r="F61" s="3" t="s">
        <v>68</v>
      </c>
      <c r="G61" s="3" t="s">
        <v>45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157</v>
      </c>
      <c r="B62" s="3" t="s">
        <v>158</v>
      </c>
      <c r="C62" s="3" t="s">
        <v>3</v>
      </c>
      <c r="D62" s="3" t="s">
        <v>53</v>
      </c>
      <c r="E62" s="3" t="s">
        <v>43</v>
      </c>
      <c r="F62" s="3" t="s">
        <v>65</v>
      </c>
      <c r="G62" s="3" t="s">
        <v>45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159</v>
      </c>
      <c r="B63" s="3" t="s">
        <v>160</v>
      </c>
      <c r="C63" s="3" t="s">
        <v>3</v>
      </c>
      <c r="D63" s="3" t="s">
        <v>36</v>
      </c>
      <c r="E63" s="3" t="s">
        <v>43</v>
      </c>
      <c r="F63" s="3" t="s">
        <v>68</v>
      </c>
      <c r="G63" s="3" t="s">
        <v>50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161</v>
      </c>
      <c r="B64" s="3" t="s">
        <v>162</v>
      </c>
      <c r="C64" s="3" t="s">
        <v>3</v>
      </c>
      <c r="D64" s="3" t="s">
        <v>53</v>
      </c>
      <c r="E64" s="3" t="s">
        <v>37</v>
      </c>
      <c r="F64" s="3" t="s">
        <v>44</v>
      </c>
      <c r="G64" s="3" t="s">
        <v>45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163</v>
      </c>
      <c r="B65" s="3" t="s">
        <v>164</v>
      </c>
      <c r="C65" s="3" t="s">
        <v>3</v>
      </c>
      <c r="D65" s="3" t="s">
        <v>36</v>
      </c>
      <c r="E65" s="3" t="s">
        <v>43</v>
      </c>
      <c r="F65" s="3" t="s">
        <v>44</v>
      </c>
      <c r="G65" s="3" t="s">
        <v>39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165</v>
      </c>
      <c r="B66" s="3" t="s">
        <v>166</v>
      </c>
      <c r="C66" s="3" t="s">
        <v>3</v>
      </c>
      <c r="D66" s="3" t="s">
        <v>53</v>
      </c>
      <c r="E66" s="3" t="s">
        <v>37</v>
      </c>
      <c r="F66" s="3" t="s">
        <v>49</v>
      </c>
      <c r="G66" s="3" t="s">
        <v>45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167</v>
      </c>
      <c r="B67" s="3" t="s">
        <v>77</v>
      </c>
      <c r="C67" s="3" t="s">
        <v>3</v>
      </c>
      <c r="D67" s="3" t="s">
        <v>53</v>
      </c>
      <c r="E67" s="3" t="s">
        <v>43</v>
      </c>
      <c r="F67" s="3" t="s">
        <v>44</v>
      </c>
      <c r="G67" s="3" t="s">
        <v>45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168</v>
      </c>
      <c r="B68" s="3" t="s">
        <v>169</v>
      </c>
      <c r="C68" s="3" t="s">
        <v>3</v>
      </c>
      <c r="D68" s="3" t="s">
        <v>53</v>
      </c>
      <c r="E68" s="3" t="s">
        <v>37</v>
      </c>
      <c r="F68" s="3" t="s">
        <v>44</v>
      </c>
      <c r="G68" s="3" t="s">
        <v>50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170</v>
      </c>
      <c r="B69" s="3" t="s">
        <v>171</v>
      </c>
      <c r="C69" s="3" t="s">
        <v>3</v>
      </c>
      <c r="D69" s="3" t="s">
        <v>42</v>
      </c>
      <c r="E69" s="3" t="s">
        <v>43</v>
      </c>
      <c r="F69" s="3" t="s">
        <v>68</v>
      </c>
      <c r="G69" s="3" t="s">
        <v>45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172</v>
      </c>
      <c r="B70" s="3" t="s">
        <v>173</v>
      </c>
      <c r="C70" s="3" t="s">
        <v>3</v>
      </c>
      <c r="D70" s="3" t="s">
        <v>48</v>
      </c>
      <c r="E70" s="3" t="s">
        <v>37</v>
      </c>
      <c r="F70" s="3" t="s">
        <v>38</v>
      </c>
      <c r="G70" s="3" t="s">
        <v>45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174</v>
      </c>
      <c r="B71" s="3" t="s">
        <v>135</v>
      </c>
      <c r="C71" s="3" t="s">
        <v>3</v>
      </c>
      <c r="D71" s="3" t="s">
        <v>36</v>
      </c>
      <c r="E71" s="3" t="s">
        <v>37</v>
      </c>
      <c r="F71" s="3" t="s">
        <v>44</v>
      </c>
      <c r="G71" s="3" t="s">
        <v>45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175</v>
      </c>
      <c r="B72" s="3" t="s">
        <v>41</v>
      </c>
      <c r="C72" s="3" t="s">
        <v>3</v>
      </c>
      <c r="D72" s="3" t="s">
        <v>42</v>
      </c>
      <c r="E72" s="3" t="s">
        <v>43</v>
      </c>
      <c r="F72" s="3" t="s">
        <v>38</v>
      </c>
      <c r="G72" s="3" t="s">
        <v>45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176</v>
      </c>
      <c r="B73" s="3" t="s">
        <v>41</v>
      </c>
      <c r="C73" s="3" t="s">
        <v>3</v>
      </c>
      <c r="D73" s="3" t="s">
        <v>48</v>
      </c>
      <c r="E73" s="3" t="s">
        <v>43</v>
      </c>
      <c r="F73" s="3" t="s">
        <v>38</v>
      </c>
      <c r="G73" s="3" t="s">
        <v>45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177</v>
      </c>
      <c r="B74" s="3" t="s">
        <v>178</v>
      </c>
      <c r="C74" s="3" t="s">
        <v>3</v>
      </c>
      <c r="D74" s="3" t="s">
        <v>48</v>
      </c>
      <c r="E74" s="3" t="s">
        <v>37</v>
      </c>
      <c r="F74" s="3" t="s">
        <v>49</v>
      </c>
      <c r="G74" s="3" t="s">
        <v>39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179</v>
      </c>
      <c r="B75" s="3" t="s">
        <v>180</v>
      </c>
      <c r="C75" s="3" t="s">
        <v>3</v>
      </c>
      <c r="D75" s="3" t="s">
        <v>53</v>
      </c>
      <c r="E75" s="3" t="s">
        <v>43</v>
      </c>
      <c r="F75" s="3" t="s">
        <v>49</v>
      </c>
      <c r="G75" s="3" t="s">
        <v>39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181</v>
      </c>
      <c r="B76" s="3" t="s">
        <v>182</v>
      </c>
      <c r="C76" s="3" t="s">
        <v>3</v>
      </c>
      <c r="D76" s="3" t="s">
        <v>36</v>
      </c>
      <c r="E76" s="3" t="s">
        <v>43</v>
      </c>
      <c r="F76" s="3" t="s">
        <v>44</v>
      </c>
      <c r="G76" s="3" t="s">
        <v>45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183</v>
      </c>
      <c r="B77" s="3" t="s">
        <v>184</v>
      </c>
      <c r="C77" s="3" t="s">
        <v>3</v>
      </c>
      <c r="D77" s="3" t="s">
        <v>53</v>
      </c>
      <c r="E77" s="3" t="s">
        <v>43</v>
      </c>
      <c r="F77" s="3" t="s">
        <v>38</v>
      </c>
      <c r="G77" s="3" t="s">
        <v>45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185</v>
      </c>
      <c r="B78" s="3" t="s">
        <v>186</v>
      </c>
      <c r="C78" s="3" t="s">
        <v>3</v>
      </c>
      <c r="D78" s="3" t="s">
        <v>36</v>
      </c>
      <c r="E78" s="3" t="s">
        <v>43</v>
      </c>
      <c r="F78" s="3" t="s">
        <v>65</v>
      </c>
      <c r="G78" s="3" t="s">
        <v>45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187</v>
      </c>
      <c r="B79" s="3" t="s">
        <v>188</v>
      </c>
      <c r="C79" s="3" t="s">
        <v>3</v>
      </c>
      <c r="D79" s="3" t="s">
        <v>36</v>
      </c>
      <c r="E79" s="3" t="s">
        <v>43</v>
      </c>
      <c r="F79" s="3" t="s">
        <v>44</v>
      </c>
      <c r="G79" s="3" t="s">
        <v>45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189</v>
      </c>
      <c r="B80" s="3" t="s">
        <v>190</v>
      </c>
      <c r="C80" s="3" t="s">
        <v>3</v>
      </c>
      <c r="D80" s="3" t="s">
        <v>42</v>
      </c>
      <c r="E80" s="3" t="s">
        <v>37</v>
      </c>
      <c r="F80" s="3" t="s">
        <v>44</v>
      </c>
      <c r="G80" s="3" t="s">
        <v>45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191</v>
      </c>
      <c r="B81" s="3" t="s">
        <v>192</v>
      </c>
      <c r="C81" s="3" t="s">
        <v>3</v>
      </c>
      <c r="D81" s="3" t="s">
        <v>48</v>
      </c>
      <c r="E81" s="3" t="s">
        <v>43</v>
      </c>
      <c r="F81" s="3" t="s">
        <v>68</v>
      </c>
      <c r="G81" s="3" t="s">
        <v>45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193</v>
      </c>
      <c r="B82" s="3" t="s">
        <v>171</v>
      </c>
      <c r="C82" s="3" t="s">
        <v>3</v>
      </c>
      <c r="D82" s="3" t="s">
        <v>53</v>
      </c>
      <c r="E82" s="3" t="s">
        <v>43</v>
      </c>
      <c r="F82" s="3" t="s">
        <v>44</v>
      </c>
      <c r="G82" s="3" t="s">
        <v>45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194</v>
      </c>
      <c r="B83" s="3" t="s">
        <v>41</v>
      </c>
      <c r="C83" s="3" t="s">
        <v>3</v>
      </c>
      <c r="D83" s="3" t="s">
        <v>53</v>
      </c>
      <c r="E83" s="3" t="s">
        <v>43</v>
      </c>
      <c r="F83" s="3" t="s">
        <v>65</v>
      </c>
      <c r="G83" s="3" t="s">
        <v>45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195</v>
      </c>
      <c r="B84" s="3" t="s">
        <v>95</v>
      </c>
      <c r="C84" s="3" t="s">
        <v>3</v>
      </c>
      <c r="D84" s="3" t="s">
        <v>53</v>
      </c>
      <c r="E84" s="3" t="s">
        <v>37</v>
      </c>
      <c r="F84" s="3" t="s">
        <v>38</v>
      </c>
      <c r="G84" s="3" t="s">
        <v>45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196</v>
      </c>
      <c r="B85" s="3" t="s">
        <v>197</v>
      </c>
      <c r="C85" s="3" t="s">
        <v>3</v>
      </c>
      <c r="D85" s="3" t="s">
        <v>42</v>
      </c>
      <c r="E85" s="3" t="s">
        <v>43</v>
      </c>
      <c r="F85" s="3" t="s">
        <v>68</v>
      </c>
      <c r="G85" s="3" t="s">
        <v>39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198</v>
      </c>
      <c r="B86" s="3" t="s">
        <v>199</v>
      </c>
      <c r="C86" s="3" t="s">
        <v>3</v>
      </c>
      <c r="D86" s="3" t="s">
        <v>53</v>
      </c>
      <c r="E86" s="3" t="s">
        <v>43</v>
      </c>
      <c r="F86" s="3" t="s">
        <v>49</v>
      </c>
      <c r="G86" s="3" t="s">
        <v>45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200</v>
      </c>
      <c r="B87" s="3" t="s">
        <v>184</v>
      </c>
      <c r="C87" s="3" t="s">
        <v>3</v>
      </c>
      <c r="D87" s="3" t="s">
        <v>36</v>
      </c>
      <c r="E87" s="3" t="s">
        <v>37</v>
      </c>
      <c r="F87" s="3" t="s">
        <v>44</v>
      </c>
      <c r="G87" s="3" t="s">
        <v>45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201</v>
      </c>
      <c r="B88" s="3" t="s">
        <v>202</v>
      </c>
      <c r="C88" s="3" t="s">
        <v>3</v>
      </c>
      <c r="D88" s="3" t="s">
        <v>42</v>
      </c>
      <c r="E88" s="3" t="s">
        <v>37</v>
      </c>
      <c r="F88" s="3" t="s">
        <v>68</v>
      </c>
      <c r="G88" s="3" t="s">
        <v>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203</v>
      </c>
      <c r="B89" s="3" t="s">
        <v>70</v>
      </c>
      <c r="C89" s="3" t="s">
        <v>3</v>
      </c>
      <c r="D89" s="3" t="s">
        <v>53</v>
      </c>
      <c r="E89" s="3" t="s">
        <v>43</v>
      </c>
      <c r="F89" s="3" t="s">
        <v>38</v>
      </c>
      <c r="G89" s="3" t="s">
        <v>50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204</v>
      </c>
      <c r="B90" s="3" t="s">
        <v>205</v>
      </c>
      <c r="C90" s="3" t="s">
        <v>3</v>
      </c>
      <c r="D90" s="3" t="s">
        <v>36</v>
      </c>
      <c r="E90" s="3" t="s">
        <v>43</v>
      </c>
      <c r="F90" s="3" t="s">
        <v>65</v>
      </c>
      <c r="G90" s="3" t="s">
        <v>39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206</v>
      </c>
      <c r="B91" s="3" t="s">
        <v>207</v>
      </c>
      <c r="C91" s="3" t="s">
        <v>3</v>
      </c>
      <c r="D91" s="3" t="s">
        <v>36</v>
      </c>
      <c r="E91" s="3" t="s">
        <v>43</v>
      </c>
      <c r="F91" s="3" t="s">
        <v>44</v>
      </c>
      <c r="G91" s="3" t="s">
        <v>39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208</v>
      </c>
      <c r="B92" s="3" t="s">
        <v>209</v>
      </c>
      <c r="C92" s="3" t="s">
        <v>3</v>
      </c>
      <c r="D92" s="3" t="s">
        <v>53</v>
      </c>
      <c r="E92" s="3" t="s">
        <v>37</v>
      </c>
      <c r="F92" s="3" t="s">
        <v>44</v>
      </c>
      <c r="G92" s="3" t="s">
        <v>45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210</v>
      </c>
      <c r="B93" s="3" t="s">
        <v>129</v>
      </c>
      <c r="C93" s="3" t="s">
        <v>3</v>
      </c>
      <c r="D93" s="3" t="s">
        <v>53</v>
      </c>
      <c r="E93" s="3" t="s">
        <v>43</v>
      </c>
      <c r="F93" s="3" t="s">
        <v>68</v>
      </c>
      <c r="G93" s="3" t="s">
        <v>45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211</v>
      </c>
      <c r="B94" s="3" t="s">
        <v>212</v>
      </c>
      <c r="C94" s="3" t="s">
        <v>3</v>
      </c>
      <c r="D94" s="3" t="s">
        <v>48</v>
      </c>
      <c r="E94" s="3" t="s">
        <v>37</v>
      </c>
      <c r="F94" s="3" t="s">
        <v>44</v>
      </c>
      <c r="G94" s="3" t="s">
        <v>39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213</v>
      </c>
      <c r="B95" s="3" t="s">
        <v>119</v>
      </c>
      <c r="C95" s="3" t="s">
        <v>3</v>
      </c>
      <c r="D95" s="3" t="s">
        <v>53</v>
      </c>
      <c r="E95" s="3" t="s">
        <v>56</v>
      </c>
      <c r="F95" s="3" t="s">
        <v>44</v>
      </c>
      <c r="G95" s="3" t="s">
        <v>50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214</v>
      </c>
      <c r="B96" s="3" t="s">
        <v>89</v>
      </c>
      <c r="C96" s="3" t="s">
        <v>3</v>
      </c>
      <c r="D96" s="3" t="s">
        <v>48</v>
      </c>
      <c r="E96" s="3" t="s">
        <v>43</v>
      </c>
      <c r="F96" s="3" t="s">
        <v>44</v>
      </c>
      <c r="G96" s="3" t="s">
        <v>45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215</v>
      </c>
      <c r="B97" s="3" t="s">
        <v>216</v>
      </c>
      <c r="C97" s="3" t="s">
        <v>3</v>
      </c>
      <c r="D97" s="3" t="s">
        <v>48</v>
      </c>
      <c r="E97" s="3" t="s">
        <v>43</v>
      </c>
      <c r="F97" s="3" t="s">
        <v>68</v>
      </c>
      <c r="G97" s="3" t="s">
        <v>45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217</v>
      </c>
      <c r="B98" s="3" t="s">
        <v>127</v>
      </c>
      <c r="C98" s="3" t="s">
        <v>3</v>
      </c>
      <c r="D98" s="3" t="s">
        <v>42</v>
      </c>
      <c r="E98" s="3" t="s">
        <v>43</v>
      </c>
      <c r="F98" s="3" t="s">
        <v>44</v>
      </c>
      <c r="G98" s="3" t="s">
        <v>39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218</v>
      </c>
      <c r="B99" s="3" t="s">
        <v>219</v>
      </c>
      <c r="C99" s="3" t="s">
        <v>3</v>
      </c>
      <c r="D99" s="3" t="s">
        <v>36</v>
      </c>
      <c r="E99" s="3" t="s">
        <v>37</v>
      </c>
      <c r="F99" s="3" t="s">
        <v>44</v>
      </c>
      <c r="G99" s="3" t="s">
        <v>50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220</v>
      </c>
      <c r="B100" s="3" t="s">
        <v>219</v>
      </c>
      <c r="C100" s="3" t="s">
        <v>3</v>
      </c>
      <c r="D100" s="3" t="s">
        <v>48</v>
      </c>
      <c r="E100" s="3" t="s">
        <v>37</v>
      </c>
      <c r="F100" s="3" t="s">
        <v>68</v>
      </c>
      <c r="G100" s="3" t="s">
        <v>45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221</v>
      </c>
      <c r="B101" s="3" t="s">
        <v>222</v>
      </c>
      <c r="C101" s="3" t="s">
        <v>3</v>
      </c>
      <c r="D101" s="3" t="s">
        <v>36</v>
      </c>
      <c r="E101" s="3" t="s">
        <v>43</v>
      </c>
      <c r="F101" s="3" t="s">
        <v>44</v>
      </c>
      <c r="G101" s="3" t="s">
        <v>45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223</v>
      </c>
      <c r="B102" s="3" t="s">
        <v>224</v>
      </c>
      <c r="C102" s="3" t="s">
        <v>3</v>
      </c>
      <c r="D102" s="3" t="s">
        <v>36</v>
      </c>
      <c r="E102" s="3" t="s">
        <v>43</v>
      </c>
      <c r="F102" s="3" t="s">
        <v>49</v>
      </c>
      <c r="G102" s="3" t="s">
        <v>39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225</v>
      </c>
      <c r="B103" s="3" t="s">
        <v>60</v>
      </c>
      <c r="C103" s="3" t="s">
        <v>3</v>
      </c>
      <c r="D103" s="3" t="s">
        <v>42</v>
      </c>
      <c r="E103" s="3" t="s">
        <v>43</v>
      </c>
      <c r="F103" s="3" t="s">
        <v>49</v>
      </c>
      <c r="G103" s="3" t="s">
        <v>45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226</v>
      </c>
      <c r="B104" s="3" t="s">
        <v>154</v>
      </c>
      <c r="C104" s="3" t="s">
        <v>3</v>
      </c>
      <c r="D104" s="3" t="s">
        <v>36</v>
      </c>
      <c r="E104" s="3" t="s">
        <v>37</v>
      </c>
      <c r="F104" s="3" t="s">
        <v>68</v>
      </c>
      <c r="G104" s="3" t="s">
        <v>45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227</v>
      </c>
      <c r="B105" s="3" t="s">
        <v>81</v>
      </c>
      <c r="C105" s="3" t="s">
        <v>3</v>
      </c>
      <c r="D105" s="3" t="s">
        <v>53</v>
      </c>
      <c r="E105" s="3" t="s">
        <v>43</v>
      </c>
      <c r="F105" s="3" t="s">
        <v>38</v>
      </c>
      <c r="G105" s="3" t="s">
        <v>45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228</v>
      </c>
      <c r="B106" s="3" t="s">
        <v>229</v>
      </c>
      <c r="C106" s="3" t="s">
        <v>3</v>
      </c>
      <c r="D106" s="3" t="s">
        <v>53</v>
      </c>
      <c r="E106" s="3" t="s">
        <v>43</v>
      </c>
      <c r="F106" s="3" t="s">
        <v>68</v>
      </c>
      <c r="G106" s="3" t="s">
        <v>45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230</v>
      </c>
      <c r="B107" s="3" t="s">
        <v>125</v>
      </c>
      <c r="C107" s="3" t="s">
        <v>3</v>
      </c>
      <c r="D107" s="3" t="s">
        <v>53</v>
      </c>
      <c r="E107" s="3" t="s">
        <v>43</v>
      </c>
      <c r="F107" s="3" t="s">
        <v>68</v>
      </c>
      <c r="G107" s="3" t="s">
        <v>39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231</v>
      </c>
      <c r="B108" s="3" t="s">
        <v>232</v>
      </c>
      <c r="C108" s="3" t="s">
        <v>3</v>
      </c>
      <c r="D108" s="3" t="s">
        <v>42</v>
      </c>
      <c r="E108" s="3" t="s">
        <v>43</v>
      </c>
      <c r="F108" s="3" t="s">
        <v>38</v>
      </c>
      <c r="G108" s="3" t="s">
        <v>45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233</v>
      </c>
      <c r="B109" s="3" t="s">
        <v>93</v>
      </c>
      <c r="C109" s="3" t="s">
        <v>3</v>
      </c>
      <c r="D109" s="3" t="s">
        <v>48</v>
      </c>
      <c r="E109" s="3" t="s">
        <v>37</v>
      </c>
      <c r="F109" s="3" t="s">
        <v>65</v>
      </c>
      <c r="G109" s="3" t="s">
        <v>45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234</v>
      </c>
      <c r="B110" s="3" t="s">
        <v>224</v>
      </c>
      <c r="C110" s="3" t="s">
        <v>3</v>
      </c>
      <c r="D110" s="3" t="s">
        <v>53</v>
      </c>
      <c r="E110" s="3" t="s">
        <v>43</v>
      </c>
      <c r="F110" s="3" t="s">
        <v>65</v>
      </c>
      <c r="G110" s="3" t="s">
        <v>39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235</v>
      </c>
      <c r="B111" s="3" t="s">
        <v>55</v>
      </c>
      <c r="C111" s="3" t="s">
        <v>3</v>
      </c>
      <c r="D111" s="3" t="s">
        <v>42</v>
      </c>
      <c r="E111" s="3" t="s">
        <v>37</v>
      </c>
      <c r="F111" s="3" t="s">
        <v>49</v>
      </c>
      <c r="G111" s="3" t="s">
        <v>39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236</v>
      </c>
      <c r="B112" s="3" t="s">
        <v>237</v>
      </c>
      <c r="C112" s="3" t="s">
        <v>3</v>
      </c>
      <c r="D112" s="3" t="s">
        <v>42</v>
      </c>
      <c r="E112" s="3" t="s">
        <v>37</v>
      </c>
      <c r="F112" s="3" t="s">
        <v>44</v>
      </c>
      <c r="G112" s="3" t="s">
        <v>39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238</v>
      </c>
      <c r="B113" s="3" t="s">
        <v>239</v>
      </c>
      <c r="C113" s="3" t="s">
        <v>3</v>
      </c>
      <c r="D113" s="3" t="s">
        <v>36</v>
      </c>
      <c r="E113" s="3" t="s">
        <v>43</v>
      </c>
      <c r="F113" s="3" t="s">
        <v>44</v>
      </c>
      <c r="G113" s="3" t="s">
        <v>39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240</v>
      </c>
      <c r="B114" s="3" t="s">
        <v>106</v>
      </c>
      <c r="C114" s="3" t="s">
        <v>3</v>
      </c>
      <c r="D114" s="3" t="s">
        <v>48</v>
      </c>
      <c r="E114" s="3" t="s">
        <v>56</v>
      </c>
      <c r="F114" s="3" t="s">
        <v>49</v>
      </c>
      <c r="G114" s="3" t="s">
        <v>45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241</v>
      </c>
      <c r="B115" s="3" t="s">
        <v>232</v>
      </c>
      <c r="C115" s="3" t="s">
        <v>3</v>
      </c>
      <c r="D115" s="3" t="s">
        <v>53</v>
      </c>
      <c r="E115" s="3" t="s">
        <v>43</v>
      </c>
      <c r="F115" s="3" t="s">
        <v>68</v>
      </c>
      <c r="G115" s="3" t="s">
        <v>45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242</v>
      </c>
      <c r="B116" s="3" t="s">
        <v>131</v>
      </c>
      <c r="C116" s="3" t="s">
        <v>3</v>
      </c>
      <c r="D116" s="3" t="s">
        <v>48</v>
      </c>
      <c r="E116" s="3" t="s">
        <v>37</v>
      </c>
      <c r="F116" s="3" t="s">
        <v>68</v>
      </c>
      <c r="G116" s="3" t="s">
        <v>45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243</v>
      </c>
      <c r="B117" s="3" t="s">
        <v>112</v>
      </c>
      <c r="C117" s="3" t="s">
        <v>3</v>
      </c>
      <c r="D117" s="3" t="s">
        <v>42</v>
      </c>
      <c r="E117" s="3" t="s">
        <v>43</v>
      </c>
      <c r="F117" s="3" t="s">
        <v>44</v>
      </c>
      <c r="G117" s="3" t="s">
        <v>45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244</v>
      </c>
      <c r="B118" s="3" t="s">
        <v>164</v>
      </c>
      <c r="C118" s="3" t="s">
        <v>3</v>
      </c>
      <c r="D118" s="3" t="s">
        <v>36</v>
      </c>
      <c r="E118" s="3" t="s">
        <v>43</v>
      </c>
      <c r="F118" s="3" t="s">
        <v>65</v>
      </c>
      <c r="G118" s="3" t="s">
        <v>45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245</v>
      </c>
      <c r="B119" s="3" t="s">
        <v>246</v>
      </c>
      <c r="C119" s="3" t="s">
        <v>3</v>
      </c>
      <c r="D119" s="3" t="s">
        <v>42</v>
      </c>
      <c r="E119" s="3" t="s">
        <v>43</v>
      </c>
      <c r="F119" s="3" t="s">
        <v>49</v>
      </c>
      <c r="G119" s="3" t="s">
        <v>45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247</v>
      </c>
      <c r="B120" s="3" t="s">
        <v>248</v>
      </c>
      <c r="C120" s="3" t="s">
        <v>3</v>
      </c>
      <c r="D120" s="3" t="s">
        <v>48</v>
      </c>
      <c r="E120" s="3" t="s">
        <v>43</v>
      </c>
      <c r="F120" s="3" t="s">
        <v>68</v>
      </c>
      <c r="G120" s="3" t="s">
        <v>45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249</v>
      </c>
      <c r="B121" s="3" t="s">
        <v>123</v>
      </c>
      <c r="C121" s="3" t="s">
        <v>3</v>
      </c>
      <c r="D121" s="3" t="s">
        <v>36</v>
      </c>
      <c r="E121" s="3" t="s">
        <v>43</v>
      </c>
      <c r="F121" s="3" t="s">
        <v>38</v>
      </c>
      <c r="G121" s="3" t="s">
        <v>45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250</v>
      </c>
      <c r="B122" s="3" t="s">
        <v>139</v>
      </c>
      <c r="C122" s="3" t="s">
        <v>3</v>
      </c>
      <c r="D122" s="3" t="s">
        <v>36</v>
      </c>
      <c r="E122" s="3" t="s">
        <v>43</v>
      </c>
      <c r="F122" s="3" t="s">
        <v>49</v>
      </c>
      <c r="G122" s="3" t="s">
        <v>39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251</v>
      </c>
      <c r="B123" s="3" t="s">
        <v>252</v>
      </c>
      <c r="C123" s="3" t="s">
        <v>3</v>
      </c>
      <c r="D123" s="3" t="s">
        <v>36</v>
      </c>
      <c r="E123" s="3" t="s">
        <v>43</v>
      </c>
      <c r="F123" s="3" t="s">
        <v>65</v>
      </c>
      <c r="G123" s="3" t="s">
        <v>45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253</v>
      </c>
      <c r="B124" s="3" t="s">
        <v>254</v>
      </c>
      <c r="C124" s="3" t="s">
        <v>3</v>
      </c>
      <c r="D124" s="3" t="s">
        <v>53</v>
      </c>
      <c r="E124" s="3" t="s">
        <v>43</v>
      </c>
      <c r="F124" s="3" t="s">
        <v>65</v>
      </c>
      <c r="G124" s="3" t="s">
        <v>39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255</v>
      </c>
      <c r="B125" s="3" t="s">
        <v>77</v>
      </c>
      <c r="C125" s="3" t="s">
        <v>3</v>
      </c>
      <c r="D125" s="3" t="s">
        <v>42</v>
      </c>
      <c r="E125" s="3"/>
      <c r="F125" s="3" t="s">
        <v>38</v>
      </c>
      <c r="G125" s="3" t="s">
        <v>39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256</v>
      </c>
      <c r="B126" s="3" t="s">
        <v>257</v>
      </c>
      <c r="C126" s="3" t="s">
        <v>3</v>
      </c>
      <c r="D126" s="3" t="s">
        <v>42</v>
      </c>
      <c r="E126" s="3" t="s">
        <v>37</v>
      </c>
      <c r="F126" s="3" t="s">
        <v>44</v>
      </c>
      <c r="G126" s="3" t="s">
        <v>50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258</v>
      </c>
      <c r="B127" s="3" t="s">
        <v>259</v>
      </c>
      <c r="C127" s="3" t="s">
        <v>3</v>
      </c>
      <c r="D127" s="3" t="s">
        <v>53</v>
      </c>
      <c r="E127" s="3" t="s">
        <v>37</v>
      </c>
      <c r="F127" s="3" t="s">
        <v>49</v>
      </c>
      <c r="G127" s="3" t="s">
        <v>50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260</v>
      </c>
      <c r="B128" s="3" t="s">
        <v>79</v>
      </c>
      <c r="C128" s="3" t="s">
        <v>3</v>
      </c>
      <c r="D128" s="3" t="s">
        <v>36</v>
      </c>
      <c r="E128" s="3" t="s">
        <v>37</v>
      </c>
      <c r="F128" s="3" t="s">
        <v>38</v>
      </c>
      <c r="G128" s="3" t="s">
        <v>45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261</v>
      </c>
      <c r="B129" s="3" t="s">
        <v>262</v>
      </c>
      <c r="C129" s="3" t="s">
        <v>3</v>
      </c>
      <c r="D129" s="3" t="s">
        <v>53</v>
      </c>
      <c r="E129" s="3" t="s">
        <v>37</v>
      </c>
      <c r="F129" s="3" t="s">
        <v>44</v>
      </c>
      <c r="G129" s="3" t="s">
        <v>45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263</v>
      </c>
      <c r="B130" s="3" t="s">
        <v>62</v>
      </c>
      <c r="C130" s="3" t="s">
        <v>3</v>
      </c>
      <c r="D130" s="3" t="s">
        <v>48</v>
      </c>
      <c r="E130" s="3" t="s">
        <v>43</v>
      </c>
      <c r="F130" s="3" t="s">
        <v>65</v>
      </c>
      <c r="G130" s="3" t="s">
        <v>39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264</v>
      </c>
      <c r="B131" s="3" t="s">
        <v>246</v>
      </c>
      <c r="C131" s="3" t="s">
        <v>3</v>
      </c>
      <c r="D131" s="3" t="s">
        <v>36</v>
      </c>
      <c r="E131" s="3" t="s">
        <v>43</v>
      </c>
      <c r="F131" s="3" t="s">
        <v>49</v>
      </c>
      <c r="G131" s="3" t="s">
        <v>45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265</v>
      </c>
      <c r="B132" s="3" t="s">
        <v>266</v>
      </c>
      <c r="C132" s="3" t="s">
        <v>3</v>
      </c>
      <c r="D132" s="3" t="s">
        <v>53</v>
      </c>
      <c r="E132" s="3" t="s">
        <v>43</v>
      </c>
      <c r="F132" s="3" t="s">
        <v>44</v>
      </c>
      <c r="G132" s="3" t="s">
        <v>45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267</v>
      </c>
      <c r="B133" s="3" t="s">
        <v>268</v>
      </c>
      <c r="C133" s="3" t="s">
        <v>3</v>
      </c>
      <c r="D133" s="3" t="s">
        <v>48</v>
      </c>
      <c r="E133" s="3" t="s">
        <v>43</v>
      </c>
      <c r="F133" s="3" t="s">
        <v>44</v>
      </c>
      <c r="G133" s="3" t="s">
        <v>45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269</v>
      </c>
      <c r="B134" s="3" t="s">
        <v>252</v>
      </c>
      <c r="C134" s="3" t="s">
        <v>3</v>
      </c>
      <c r="D134" s="3" t="s">
        <v>53</v>
      </c>
      <c r="E134" s="3" t="s">
        <v>43</v>
      </c>
      <c r="F134" s="3" t="s">
        <v>49</v>
      </c>
      <c r="G134" s="3" t="s">
        <v>39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270</v>
      </c>
      <c r="B135" s="3" t="s">
        <v>271</v>
      </c>
      <c r="C135" s="3" t="s">
        <v>3</v>
      </c>
      <c r="D135" s="3" t="s">
        <v>42</v>
      </c>
      <c r="E135" s="3" t="s">
        <v>43</v>
      </c>
      <c r="F135" s="3" t="s">
        <v>49</v>
      </c>
      <c r="G135" s="3" t="s">
        <v>39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272</v>
      </c>
      <c r="B136" s="3" t="s">
        <v>273</v>
      </c>
      <c r="C136" s="3" t="s">
        <v>3</v>
      </c>
      <c r="D136" s="3" t="s">
        <v>36</v>
      </c>
      <c r="E136" s="3" t="s">
        <v>43</v>
      </c>
      <c r="F136" s="3" t="s">
        <v>44</v>
      </c>
      <c r="G136" s="3" t="s">
        <v>39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274</v>
      </c>
      <c r="B137" s="3" t="s">
        <v>144</v>
      </c>
      <c r="C137" s="3" t="s">
        <v>3</v>
      </c>
      <c r="D137" s="3" t="s">
        <v>53</v>
      </c>
      <c r="E137" s="3" t="s">
        <v>37</v>
      </c>
      <c r="F137" s="3" t="s">
        <v>38</v>
      </c>
      <c r="G137" s="3" t="s">
        <v>50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275</v>
      </c>
      <c r="B138" s="3" t="s">
        <v>276</v>
      </c>
      <c r="C138" s="3" t="s">
        <v>3</v>
      </c>
      <c r="D138" s="3" t="s">
        <v>36</v>
      </c>
      <c r="E138" s="3" t="s">
        <v>43</v>
      </c>
      <c r="F138" s="3" t="s">
        <v>49</v>
      </c>
      <c r="G138" s="3" t="s">
        <v>45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277</v>
      </c>
      <c r="B139" s="3" t="s">
        <v>64</v>
      </c>
      <c r="C139" s="3" t="s">
        <v>3</v>
      </c>
      <c r="D139" s="3" t="s">
        <v>53</v>
      </c>
      <c r="E139" s="3" t="s">
        <v>37</v>
      </c>
      <c r="F139" s="3" t="s">
        <v>49</v>
      </c>
      <c r="G139" s="3" t="s">
        <v>45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278</v>
      </c>
      <c r="B140" s="3" t="s">
        <v>279</v>
      </c>
      <c r="C140" s="3" t="s">
        <v>3</v>
      </c>
      <c r="D140" s="3" t="s">
        <v>42</v>
      </c>
      <c r="E140" s="3" t="s">
        <v>43</v>
      </c>
      <c r="F140" s="3" t="s">
        <v>68</v>
      </c>
      <c r="G140" s="3" t="s">
        <v>39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280</v>
      </c>
      <c r="B141" s="3" t="s">
        <v>281</v>
      </c>
      <c r="C141" s="3" t="s">
        <v>3</v>
      </c>
      <c r="D141" s="3" t="s">
        <v>36</v>
      </c>
      <c r="E141" s="3" t="s">
        <v>43</v>
      </c>
      <c r="F141" s="3" t="s">
        <v>44</v>
      </c>
      <c r="G141" s="3" t="s">
        <v>39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282</v>
      </c>
      <c r="B142" s="3" t="s">
        <v>283</v>
      </c>
      <c r="C142" s="3" t="s">
        <v>3</v>
      </c>
      <c r="D142" s="3" t="s">
        <v>53</v>
      </c>
      <c r="E142" s="3" t="s">
        <v>43</v>
      </c>
      <c r="F142" s="3" t="s">
        <v>44</v>
      </c>
      <c r="G142" s="3" t="s">
        <v>45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284</v>
      </c>
      <c r="B143" s="3" t="s">
        <v>285</v>
      </c>
      <c r="C143" s="3" t="s">
        <v>3</v>
      </c>
      <c r="D143" s="3" t="s">
        <v>42</v>
      </c>
      <c r="E143" s="3" t="s">
        <v>37</v>
      </c>
      <c r="F143" s="3" t="s">
        <v>68</v>
      </c>
      <c r="G143" s="3" t="s">
        <v>45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286</v>
      </c>
      <c r="B144" s="3" t="s">
        <v>121</v>
      </c>
      <c r="C144" s="3" t="s">
        <v>3</v>
      </c>
      <c r="D144" s="3" t="s">
        <v>36</v>
      </c>
      <c r="E144" s="3" t="s">
        <v>43</v>
      </c>
      <c r="F144" s="3" t="s">
        <v>49</v>
      </c>
      <c r="G144" s="3" t="s">
        <v>45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287</v>
      </c>
      <c r="B145" s="3" t="s">
        <v>139</v>
      </c>
      <c r="C145" s="3" t="s">
        <v>3</v>
      </c>
      <c r="D145" s="3" t="s">
        <v>48</v>
      </c>
      <c r="E145" s="3" t="s">
        <v>43</v>
      </c>
      <c r="F145" s="3" t="s">
        <v>49</v>
      </c>
      <c r="G145" s="3" t="s">
        <v>39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288</v>
      </c>
      <c r="B146" s="3" t="s">
        <v>164</v>
      </c>
      <c r="C146" s="3" t="s">
        <v>3</v>
      </c>
      <c r="D146" s="3" t="s">
        <v>48</v>
      </c>
      <c r="E146" s="3" t="s">
        <v>43</v>
      </c>
      <c r="F146" s="3" t="s">
        <v>44</v>
      </c>
      <c r="G146" s="3" t="s">
        <v>45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289</v>
      </c>
      <c r="B147" s="3" t="s">
        <v>209</v>
      </c>
      <c r="C147" s="3" t="s">
        <v>3</v>
      </c>
      <c r="D147" s="3" t="s">
        <v>48</v>
      </c>
      <c r="E147" s="3" t="s">
        <v>43</v>
      </c>
      <c r="F147" s="3" t="s">
        <v>49</v>
      </c>
      <c r="G147" s="3" t="s">
        <v>45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290</v>
      </c>
      <c r="B148" s="3" t="s">
        <v>79</v>
      </c>
      <c r="C148" s="3" t="s">
        <v>3</v>
      </c>
      <c r="D148" s="3" t="s">
        <v>42</v>
      </c>
      <c r="E148" s="3" t="s">
        <v>43</v>
      </c>
      <c r="F148" s="3" t="s">
        <v>44</v>
      </c>
      <c r="G148" s="3" t="s">
        <v>39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291</v>
      </c>
      <c r="B149" s="3" t="s">
        <v>93</v>
      </c>
      <c r="C149" s="3" t="s">
        <v>3</v>
      </c>
      <c r="D149" s="3" t="s">
        <v>53</v>
      </c>
      <c r="E149" s="3" t="s">
        <v>37</v>
      </c>
      <c r="F149" s="3" t="s">
        <v>44</v>
      </c>
      <c r="G149" s="3" t="s">
        <v>39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292</v>
      </c>
      <c r="B150" s="3" t="s">
        <v>58</v>
      </c>
      <c r="C150" s="3" t="s">
        <v>3</v>
      </c>
      <c r="D150" s="3" t="s">
        <v>36</v>
      </c>
      <c r="E150" s="3" t="s">
        <v>43</v>
      </c>
      <c r="F150" s="3" t="s">
        <v>44</v>
      </c>
      <c r="G150" s="3" t="s">
        <v>45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293</v>
      </c>
      <c r="B151" s="3" t="s">
        <v>55</v>
      </c>
      <c r="C151" s="3" t="s">
        <v>3</v>
      </c>
      <c r="D151" s="3" t="s">
        <v>42</v>
      </c>
      <c r="E151" s="3" t="s">
        <v>43</v>
      </c>
      <c r="F151" s="3" t="s">
        <v>49</v>
      </c>
      <c r="G151" s="3" t="s">
        <v>50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294</v>
      </c>
      <c r="B152" s="3" t="s">
        <v>262</v>
      </c>
      <c r="C152" s="3" t="s">
        <v>3</v>
      </c>
      <c r="D152" s="3" t="s">
        <v>36</v>
      </c>
      <c r="E152" s="3" t="s">
        <v>43</v>
      </c>
      <c r="F152" s="3" t="s">
        <v>68</v>
      </c>
      <c r="G152" s="3" t="s">
        <v>50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295</v>
      </c>
      <c r="B153" s="3" t="s">
        <v>296</v>
      </c>
      <c r="C153" s="3" t="s">
        <v>3</v>
      </c>
      <c r="D153" s="3" t="s">
        <v>53</v>
      </c>
      <c r="E153" s="3" t="s">
        <v>43</v>
      </c>
      <c r="F153" s="3" t="s">
        <v>38</v>
      </c>
      <c r="G153" s="3" t="s">
        <v>45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297</v>
      </c>
      <c r="B154" s="3" t="s">
        <v>152</v>
      </c>
      <c r="C154" s="3" t="s">
        <v>3</v>
      </c>
      <c r="D154" s="3" t="s">
        <v>48</v>
      </c>
      <c r="E154" s="3" t="s">
        <v>37</v>
      </c>
      <c r="F154" s="3" t="s">
        <v>49</v>
      </c>
      <c r="G154" s="3" t="s">
        <v>45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298</v>
      </c>
      <c r="B155" s="3" t="s">
        <v>268</v>
      </c>
      <c r="C155" s="3" t="s">
        <v>3</v>
      </c>
      <c r="D155" s="3" t="s">
        <v>53</v>
      </c>
      <c r="E155" s="3" t="s">
        <v>43</v>
      </c>
      <c r="F155" s="3" t="s">
        <v>65</v>
      </c>
      <c r="G155" s="3" t="s">
        <v>45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3" t="s">
        <v>299</v>
      </c>
      <c r="B156" s="3" t="s">
        <v>152</v>
      </c>
      <c r="C156" s="3" t="s">
        <v>3</v>
      </c>
      <c r="D156" s="3" t="s">
        <v>42</v>
      </c>
      <c r="E156" s="3" t="s">
        <v>43</v>
      </c>
      <c r="F156" s="3" t="s">
        <v>49</v>
      </c>
      <c r="G156" s="3" t="s">
        <v>39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300</v>
      </c>
      <c r="B157" s="3" t="s">
        <v>301</v>
      </c>
      <c r="C157" s="3" t="s">
        <v>3</v>
      </c>
      <c r="D157" s="3" t="s">
        <v>36</v>
      </c>
      <c r="E157" s="3" t="s">
        <v>37</v>
      </c>
      <c r="F157" s="3" t="s">
        <v>44</v>
      </c>
      <c r="G157" s="3" t="s">
        <v>45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302</v>
      </c>
      <c r="B158" s="3" t="s">
        <v>254</v>
      </c>
      <c r="C158" s="3" t="s">
        <v>3</v>
      </c>
      <c r="D158" s="3" t="s">
        <v>42</v>
      </c>
      <c r="E158" s="3" t="s">
        <v>43</v>
      </c>
      <c r="F158" s="3" t="s">
        <v>44</v>
      </c>
      <c r="G158" s="3" t="s">
        <v>45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303</v>
      </c>
      <c r="B159" s="3" t="s">
        <v>41</v>
      </c>
      <c r="C159" s="3" t="s">
        <v>3</v>
      </c>
      <c r="D159" s="3" t="s">
        <v>36</v>
      </c>
      <c r="E159" s="3" t="s">
        <v>37</v>
      </c>
      <c r="F159" s="3" t="s">
        <v>49</v>
      </c>
      <c r="G159" s="3" t="s">
        <v>45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304</v>
      </c>
      <c r="B160" s="3" t="s">
        <v>144</v>
      </c>
      <c r="C160" s="3" t="s">
        <v>3</v>
      </c>
      <c r="D160" s="3" t="s">
        <v>48</v>
      </c>
      <c r="E160" s="3" t="s">
        <v>43</v>
      </c>
      <c r="F160" s="3" t="s">
        <v>44</v>
      </c>
      <c r="G160" s="3" t="s">
        <v>45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305</v>
      </c>
      <c r="B161" s="3" t="s">
        <v>257</v>
      </c>
      <c r="C161" s="3" t="s">
        <v>3</v>
      </c>
      <c r="D161" s="3" t="s">
        <v>36</v>
      </c>
      <c r="E161" s="3" t="s">
        <v>37</v>
      </c>
      <c r="F161" s="3" t="s">
        <v>49</v>
      </c>
      <c r="G161" s="3" t="s">
        <v>39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306</v>
      </c>
      <c r="B162" s="3" t="s">
        <v>307</v>
      </c>
      <c r="C162" s="3" t="s">
        <v>3</v>
      </c>
      <c r="D162" s="3" t="s">
        <v>36</v>
      </c>
      <c r="E162" s="3" t="s">
        <v>43</v>
      </c>
      <c r="F162" s="3" t="s">
        <v>68</v>
      </c>
      <c r="G162" s="3" t="s">
        <v>39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308</v>
      </c>
      <c r="B163" s="3" t="s">
        <v>207</v>
      </c>
      <c r="C163" s="3" t="s">
        <v>3</v>
      </c>
      <c r="D163" s="3" t="s">
        <v>36</v>
      </c>
      <c r="E163" s="3" t="s">
        <v>43</v>
      </c>
      <c r="F163" s="3" t="s">
        <v>44</v>
      </c>
      <c r="G163" s="3" t="s">
        <v>45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3" t="s">
        <v>309</v>
      </c>
      <c r="B164" s="3" t="s">
        <v>164</v>
      </c>
      <c r="C164" s="3" t="s">
        <v>3</v>
      </c>
      <c r="D164" s="3" t="s">
        <v>53</v>
      </c>
      <c r="E164" s="3" t="s">
        <v>43</v>
      </c>
      <c r="F164" s="3" t="s">
        <v>44</v>
      </c>
      <c r="G164" s="3" t="s">
        <v>39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310</v>
      </c>
      <c r="B165" s="3" t="s">
        <v>127</v>
      </c>
      <c r="C165" s="3" t="s">
        <v>3</v>
      </c>
      <c r="D165" s="3" t="s">
        <v>48</v>
      </c>
      <c r="E165" s="3" t="s">
        <v>43</v>
      </c>
      <c r="F165" s="3" t="s">
        <v>44</v>
      </c>
      <c r="G165" s="3" t="s">
        <v>45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311</v>
      </c>
      <c r="B166" s="3" t="s">
        <v>106</v>
      </c>
      <c r="C166" s="3" t="s">
        <v>3</v>
      </c>
      <c r="D166" s="3" t="s">
        <v>48</v>
      </c>
      <c r="E166" s="3" t="s">
        <v>43</v>
      </c>
      <c r="F166" s="3" t="s">
        <v>68</v>
      </c>
      <c r="G166" s="3" t="s">
        <v>45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312</v>
      </c>
      <c r="B167" s="3" t="s">
        <v>313</v>
      </c>
      <c r="C167" s="3" t="s">
        <v>3</v>
      </c>
      <c r="D167" s="3" t="s">
        <v>36</v>
      </c>
      <c r="E167" s="3" t="s">
        <v>37</v>
      </c>
      <c r="F167" s="3" t="s">
        <v>49</v>
      </c>
      <c r="G167" s="3" t="s">
        <v>39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314</v>
      </c>
      <c r="B168" s="3" t="s">
        <v>315</v>
      </c>
      <c r="C168" s="3" t="s">
        <v>3</v>
      </c>
      <c r="D168" s="3" t="s">
        <v>53</v>
      </c>
      <c r="E168" s="3" t="s">
        <v>43</v>
      </c>
      <c r="F168" s="3" t="s">
        <v>68</v>
      </c>
      <c r="G168" s="3" t="s">
        <v>45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316</v>
      </c>
      <c r="B169" s="3" t="s">
        <v>273</v>
      </c>
      <c r="C169" s="3" t="s">
        <v>3</v>
      </c>
      <c r="D169" s="3" t="s">
        <v>53</v>
      </c>
      <c r="E169" s="3" t="s">
        <v>43</v>
      </c>
      <c r="F169" s="3" t="s">
        <v>49</v>
      </c>
      <c r="G169" s="3" t="s">
        <v>45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3" t="s">
        <v>317</v>
      </c>
      <c r="B170" s="3" t="s">
        <v>144</v>
      </c>
      <c r="C170" s="3" t="s">
        <v>3</v>
      </c>
      <c r="D170" s="3" t="s">
        <v>42</v>
      </c>
      <c r="E170" s="3" t="s">
        <v>43</v>
      </c>
      <c r="F170" s="3" t="s">
        <v>68</v>
      </c>
      <c r="G170" s="3" t="s">
        <v>39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318</v>
      </c>
      <c r="B171" s="3" t="s">
        <v>319</v>
      </c>
      <c r="C171" s="3" t="s">
        <v>3</v>
      </c>
      <c r="D171" s="3" t="s">
        <v>36</v>
      </c>
      <c r="E171" s="3" t="s">
        <v>43</v>
      </c>
      <c r="F171" s="3" t="s">
        <v>44</v>
      </c>
      <c r="G171" s="3" t="s">
        <v>45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320</v>
      </c>
      <c r="B172" s="3" t="s">
        <v>67</v>
      </c>
      <c r="C172" s="3" t="s">
        <v>3</v>
      </c>
      <c r="D172" s="3" t="s">
        <v>48</v>
      </c>
      <c r="E172" s="3"/>
      <c r="F172" s="3" t="s">
        <v>49</v>
      </c>
      <c r="G172" s="3" t="s">
        <v>45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321</v>
      </c>
      <c r="B173" s="3" t="s">
        <v>322</v>
      </c>
      <c r="C173" s="3" t="s">
        <v>3</v>
      </c>
      <c r="D173" s="3" t="s">
        <v>36</v>
      </c>
      <c r="E173" s="3" t="s">
        <v>43</v>
      </c>
      <c r="F173" s="3" t="s">
        <v>44</v>
      </c>
      <c r="G173" s="3" t="s">
        <v>45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323</v>
      </c>
      <c r="B174" s="3" t="s">
        <v>108</v>
      </c>
      <c r="C174" s="3" t="s">
        <v>3</v>
      </c>
      <c r="D174" s="3" t="s">
        <v>36</v>
      </c>
      <c r="E174" s="3" t="s">
        <v>56</v>
      </c>
      <c r="F174" s="3" t="s">
        <v>44</v>
      </c>
      <c r="G174" s="3" t="s">
        <v>39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324</v>
      </c>
      <c r="B175" s="3" t="s">
        <v>252</v>
      </c>
      <c r="C175" s="3" t="s">
        <v>3</v>
      </c>
      <c r="D175" s="3" t="s">
        <v>36</v>
      </c>
      <c r="E175" s="3" t="s">
        <v>37</v>
      </c>
      <c r="F175" s="3" t="s">
        <v>38</v>
      </c>
      <c r="G175" s="3" t="s">
        <v>45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325</v>
      </c>
      <c r="B176" s="3" t="s">
        <v>209</v>
      </c>
      <c r="C176" s="3" t="s">
        <v>3</v>
      </c>
      <c r="D176" s="3" t="s">
        <v>48</v>
      </c>
      <c r="E176" s="3" t="s">
        <v>43</v>
      </c>
      <c r="F176" s="3" t="s">
        <v>68</v>
      </c>
      <c r="G176" s="3" t="s">
        <v>39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326</v>
      </c>
      <c r="B177" s="3" t="s">
        <v>35</v>
      </c>
      <c r="C177" s="3" t="s">
        <v>3</v>
      </c>
      <c r="D177" s="3" t="s">
        <v>53</v>
      </c>
      <c r="E177" s="3" t="s">
        <v>56</v>
      </c>
      <c r="F177" s="3" t="s">
        <v>65</v>
      </c>
      <c r="G177" s="3" t="s">
        <v>39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327</v>
      </c>
      <c r="B178" s="3" t="s">
        <v>262</v>
      </c>
      <c r="C178" s="3" t="s">
        <v>3</v>
      </c>
      <c r="D178" s="3" t="s">
        <v>42</v>
      </c>
      <c r="E178" s="3" t="s">
        <v>43</v>
      </c>
      <c r="F178" s="3" t="s">
        <v>44</v>
      </c>
      <c r="G178" s="3" t="s">
        <v>39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328</v>
      </c>
      <c r="B179" s="3" t="s">
        <v>315</v>
      </c>
      <c r="C179" s="3" t="s">
        <v>3</v>
      </c>
      <c r="D179" s="3" t="s">
        <v>36</v>
      </c>
      <c r="E179" s="3" t="s">
        <v>43</v>
      </c>
      <c r="F179" s="3" t="s">
        <v>44</v>
      </c>
      <c r="G179" s="3" t="s">
        <v>45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329</v>
      </c>
      <c r="B180" s="3" t="s">
        <v>186</v>
      </c>
      <c r="C180" s="3" t="s">
        <v>3</v>
      </c>
      <c r="D180" s="3" t="s">
        <v>36</v>
      </c>
      <c r="E180" s="3" t="s">
        <v>37</v>
      </c>
      <c r="F180" s="3" t="s">
        <v>65</v>
      </c>
      <c r="G180" s="3" t="s">
        <v>50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330</v>
      </c>
      <c r="B181" s="3" t="s">
        <v>285</v>
      </c>
      <c r="C181" s="3" t="s">
        <v>3</v>
      </c>
      <c r="D181" s="3" t="s">
        <v>53</v>
      </c>
      <c r="E181" s="3" t="s">
        <v>43</v>
      </c>
      <c r="F181" s="3" t="s">
        <v>49</v>
      </c>
      <c r="G181" s="3" t="s">
        <v>45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331</v>
      </c>
      <c r="B182" s="3" t="s">
        <v>205</v>
      </c>
      <c r="C182" s="3" t="s">
        <v>3</v>
      </c>
      <c r="D182" s="3" t="s">
        <v>42</v>
      </c>
      <c r="E182" s="3" t="s">
        <v>43</v>
      </c>
      <c r="F182" s="3" t="s">
        <v>49</v>
      </c>
      <c r="G182" s="3" t="s">
        <v>45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332</v>
      </c>
      <c r="B183" s="3" t="s">
        <v>70</v>
      </c>
      <c r="C183" s="3" t="s">
        <v>3</v>
      </c>
      <c r="D183" s="3" t="s">
        <v>53</v>
      </c>
      <c r="E183" s="3" t="s">
        <v>43</v>
      </c>
      <c r="F183" s="3" t="s">
        <v>44</v>
      </c>
      <c r="G183" s="3" t="s">
        <v>50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333</v>
      </c>
      <c r="B184" s="3" t="s">
        <v>334</v>
      </c>
      <c r="C184" s="3" t="s">
        <v>3</v>
      </c>
      <c r="D184" s="3" t="s">
        <v>53</v>
      </c>
      <c r="E184" s="3" t="s">
        <v>43</v>
      </c>
      <c r="F184" s="3" t="s">
        <v>49</v>
      </c>
      <c r="G184" s="3" t="s">
        <v>45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335</v>
      </c>
      <c r="B185" s="3" t="s">
        <v>52</v>
      </c>
      <c r="C185" s="3" t="s">
        <v>3</v>
      </c>
      <c r="D185" s="3" t="s">
        <v>53</v>
      </c>
      <c r="E185" s="3" t="s">
        <v>43</v>
      </c>
      <c r="F185" s="3" t="s">
        <v>44</v>
      </c>
      <c r="G185" s="3" t="s">
        <v>45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336</v>
      </c>
      <c r="B186" s="3" t="s">
        <v>73</v>
      </c>
      <c r="C186" s="3" t="s">
        <v>3</v>
      </c>
      <c r="D186" s="3" t="s">
        <v>53</v>
      </c>
      <c r="E186" s="3" t="s">
        <v>56</v>
      </c>
      <c r="F186" s="3" t="s">
        <v>49</v>
      </c>
      <c r="G186" s="3" t="s">
        <v>50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337</v>
      </c>
      <c r="B187" s="3" t="s">
        <v>237</v>
      </c>
      <c r="C187" s="3" t="s">
        <v>3</v>
      </c>
      <c r="D187" s="3" t="s">
        <v>48</v>
      </c>
      <c r="E187" s="3" t="s">
        <v>56</v>
      </c>
      <c r="F187" s="3" t="s">
        <v>38</v>
      </c>
      <c r="G187" s="3" t="s">
        <v>39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338</v>
      </c>
      <c r="B188" s="3" t="s">
        <v>162</v>
      </c>
      <c r="C188" s="3" t="s">
        <v>3</v>
      </c>
      <c r="D188" s="3" t="s">
        <v>48</v>
      </c>
      <c r="E188" s="3" t="s">
        <v>37</v>
      </c>
      <c r="F188" s="3" t="s">
        <v>65</v>
      </c>
      <c r="G188" s="3" t="s">
        <v>45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339</v>
      </c>
      <c r="B189" s="3" t="s">
        <v>340</v>
      </c>
      <c r="C189" s="3" t="s">
        <v>3</v>
      </c>
      <c r="D189" s="3" t="s">
        <v>42</v>
      </c>
      <c r="E189" s="3" t="s">
        <v>43</v>
      </c>
      <c r="F189" s="3" t="s">
        <v>49</v>
      </c>
      <c r="G189" s="3" t="s">
        <v>39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341</v>
      </c>
      <c r="B190" s="3" t="s">
        <v>85</v>
      </c>
      <c r="C190" s="3" t="s">
        <v>3</v>
      </c>
      <c r="D190" s="3" t="s">
        <v>53</v>
      </c>
      <c r="E190" s="3" t="s">
        <v>43</v>
      </c>
      <c r="F190" s="3" t="s">
        <v>68</v>
      </c>
      <c r="G190" s="3" t="s">
        <v>39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342</v>
      </c>
      <c r="B191" s="3" t="s">
        <v>108</v>
      </c>
      <c r="C191" s="3" t="s">
        <v>3</v>
      </c>
      <c r="D191" s="3" t="s">
        <v>36</v>
      </c>
      <c r="E191" s="3" t="s">
        <v>56</v>
      </c>
      <c r="F191" s="3" t="s">
        <v>38</v>
      </c>
      <c r="G191" s="3" t="s">
        <v>45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343</v>
      </c>
      <c r="B192" s="3" t="s">
        <v>239</v>
      </c>
      <c r="C192" s="3" t="s">
        <v>3</v>
      </c>
      <c r="D192" s="3" t="s">
        <v>53</v>
      </c>
      <c r="E192" s="3" t="s">
        <v>37</v>
      </c>
      <c r="F192" s="3" t="s">
        <v>38</v>
      </c>
      <c r="G192" s="3" t="s">
        <v>39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344</v>
      </c>
      <c r="B193" s="3" t="s">
        <v>345</v>
      </c>
      <c r="C193" s="3" t="s">
        <v>3</v>
      </c>
      <c r="D193" s="3" t="s">
        <v>53</v>
      </c>
      <c r="E193" s="3" t="s">
        <v>37</v>
      </c>
      <c r="F193" s="3" t="s">
        <v>44</v>
      </c>
      <c r="G193" s="3" t="s">
        <v>39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346</v>
      </c>
      <c r="B194" s="3" t="s">
        <v>35</v>
      </c>
      <c r="C194" s="3" t="s">
        <v>3</v>
      </c>
      <c r="D194" s="3" t="s">
        <v>42</v>
      </c>
      <c r="E194" s="3" t="s">
        <v>43</v>
      </c>
      <c r="F194" s="3" t="s">
        <v>49</v>
      </c>
      <c r="G194" s="3" t="s">
        <v>39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347</v>
      </c>
      <c r="B195" s="3" t="s">
        <v>106</v>
      </c>
      <c r="C195" s="3" t="s">
        <v>3</v>
      </c>
      <c r="D195" s="3" t="s">
        <v>36</v>
      </c>
      <c r="E195" s="3" t="s">
        <v>43</v>
      </c>
      <c r="F195" s="3" t="s">
        <v>49</v>
      </c>
      <c r="G195" s="3" t="s">
        <v>45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348</v>
      </c>
      <c r="B196" s="3" t="s">
        <v>135</v>
      </c>
      <c r="C196" s="3" t="s">
        <v>3</v>
      </c>
      <c r="D196" s="3" t="s">
        <v>53</v>
      </c>
      <c r="E196" s="3" t="s">
        <v>37</v>
      </c>
      <c r="F196" s="3" t="s">
        <v>44</v>
      </c>
      <c r="G196" s="3" t="s">
        <v>39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349</v>
      </c>
      <c r="B197" s="3" t="s">
        <v>205</v>
      </c>
      <c r="C197" s="3" t="s">
        <v>3</v>
      </c>
      <c r="D197" s="3" t="s">
        <v>42</v>
      </c>
      <c r="E197" s="3" t="s">
        <v>37</v>
      </c>
      <c r="F197" s="3" t="s">
        <v>65</v>
      </c>
      <c r="G197" s="3" t="s">
        <v>39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350</v>
      </c>
      <c r="B198" s="3" t="s">
        <v>129</v>
      </c>
      <c r="C198" s="3" t="s">
        <v>3</v>
      </c>
      <c r="D198" s="3" t="s">
        <v>36</v>
      </c>
      <c r="E198" s="3" t="s">
        <v>43</v>
      </c>
      <c r="F198" s="3" t="s">
        <v>68</v>
      </c>
      <c r="G198" s="3" t="s">
        <v>39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351</v>
      </c>
      <c r="B199" s="3" t="s">
        <v>313</v>
      </c>
      <c r="C199" s="3" t="s">
        <v>3</v>
      </c>
      <c r="D199" s="3" t="s">
        <v>53</v>
      </c>
      <c r="E199" s="3" t="s">
        <v>43</v>
      </c>
      <c r="F199" s="3" t="s">
        <v>49</v>
      </c>
      <c r="G199" s="3" t="s">
        <v>39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352</v>
      </c>
      <c r="B200" s="3" t="s">
        <v>307</v>
      </c>
      <c r="C200" s="3" t="s">
        <v>3</v>
      </c>
      <c r="D200" s="3" t="s">
        <v>36</v>
      </c>
      <c r="E200" s="3" t="s">
        <v>43</v>
      </c>
      <c r="F200" s="3" t="s">
        <v>44</v>
      </c>
      <c r="G200" s="3" t="s">
        <v>39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353</v>
      </c>
      <c r="B201" s="3" t="s">
        <v>354</v>
      </c>
      <c r="C201" s="3" t="s">
        <v>3</v>
      </c>
      <c r="D201" s="3" t="s">
        <v>36</v>
      </c>
      <c r="E201" s="3" t="s">
        <v>43</v>
      </c>
      <c r="F201" s="3" t="s">
        <v>44</v>
      </c>
      <c r="G201" s="3" t="s">
        <v>50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355</v>
      </c>
      <c r="B202" s="3" t="s">
        <v>158</v>
      </c>
      <c r="C202" s="3" t="s">
        <v>3</v>
      </c>
      <c r="D202" s="3" t="s">
        <v>42</v>
      </c>
      <c r="E202" s="3" t="s">
        <v>37</v>
      </c>
      <c r="F202" s="3" t="s">
        <v>44</v>
      </c>
      <c r="G202" s="3" t="s">
        <v>45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356</v>
      </c>
      <c r="B203" s="3" t="s">
        <v>307</v>
      </c>
      <c r="C203" s="3" t="s">
        <v>3</v>
      </c>
      <c r="D203" s="3" t="s">
        <v>53</v>
      </c>
      <c r="E203" s="3" t="s">
        <v>56</v>
      </c>
      <c r="F203" s="3" t="s">
        <v>44</v>
      </c>
      <c r="G203" s="3" t="s">
        <v>45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357</v>
      </c>
      <c r="B204" s="3" t="s">
        <v>192</v>
      </c>
      <c r="C204" s="3" t="s">
        <v>3</v>
      </c>
      <c r="D204" s="3" t="s">
        <v>36</v>
      </c>
      <c r="E204" s="3" t="s">
        <v>43</v>
      </c>
      <c r="F204" s="3" t="s">
        <v>49</v>
      </c>
      <c r="G204" s="3" t="s">
        <v>45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358</v>
      </c>
      <c r="B205" s="3" t="s">
        <v>359</v>
      </c>
      <c r="C205" s="3" t="s">
        <v>3</v>
      </c>
      <c r="D205" s="3" t="s">
        <v>48</v>
      </c>
      <c r="E205" s="3" t="s">
        <v>43</v>
      </c>
      <c r="F205" s="3" t="s">
        <v>68</v>
      </c>
      <c r="G205" s="3" t="s">
        <v>39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360</v>
      </c>
      <c r="B206" s="3" t="s">
        <v>361</v>
      </c>
      <c r="C206" s="3" t="s">
        <v>3</v>
      </c>
      <c r="D206" s="3" t="s">
        <v>42</v>
      </c>
      <c r="E206" s="3" t="s">
        <v>37</v>
      </c>
      <c r="F206" s="3" t="s">
        <v>44</v>
      </c>
      <c r="G206" s="3" t="s">
        <v>45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362</v>
      </c>
      <c r="B207" s="3" t="s">
        <v>106</v>
      </c>
      <c r="C207" s="3" t="s">
        <v>3</v>
      </c>
      <c r="D207" s="3" t="s">
        <v>53</v>
      </c>
      <c r="E207" s="3" t="s">
        <v>43</v>
      </c>
      <c r="F207" s="3" t="s">
        <v>49</v>
      </c>
      <c r="G207" s="3" t="s">
        <v>45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363</v>
      </c>
      <c r="B208" s="3" t="s">
        <v>178</v>
      </c>
      <c r="C208" s="3" t="s">
        <v>3</v>
      </c>
      <c r="D208" s="3" t="s">
        <v>53</v>
      </c>
      <c r="E208" s="3" t="s">
        <v>37</v>
      </c>
      <c r="F208" s="3" t="s">
        <v>49</v>
      </c>
      <c r="G208" s="3" t="s">
        <v>45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364</v>
      </c>
      <c r="B209" s="3" t="s">
        <v>365</v>
      </c>
      <c r="C209" s="3" t="s">
        <v>3</v>
      </c>
      <c r="D209" s="3" t="s">
        <v>36</v>
      </c>
      <c r="E209" s="3" t="s">
        <v>37</v>
      </c>
      <c r="F209" s="3" t="s">
        <v>65</v>
      </c>
      <c r="G209" s="3" t="s">
        <v>50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366</v>
      </c>
      <c r="B210" s="3" t="s">
        <v>135</v>
      </c>
      <c r="C210" s="3" t="s">
        <v>3</v>
      </c>
      <c r="D210" s="3" t="s">
        <v>48</v>
      </c>
      <c r="E210" s="3" t="s">
        <v>43</v>
      </c>
      <c r="F210" s="3" t="s">
        <v>44</v>
      </c>
      <c r="G210" s="3" t="s">
        <v>45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367</v>
      </c>
      <c r="B211" s="3" t="s">
        <v>368</v>
      </c>
      <c r="C211" s="3" t="s">
        <v>3</v>
      </c>
      <c r="D211" s="3" t="s">
        <v>36</v>
      </c>
      <c r="E211" s="3" t="s">
        <v>43</v>
      </c>
      <c r="F211" s="3" t="s">
        <v>38</v>
      </c>
      <c r="G211" s="3" t="s">
        <v>45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369</v>
      </c>
      <c r="B212" s="3" t="s">
        <v>322</v>
      </c>
      <c r="C212" s="3" t="s">
        <v>3</v>
      </c>
      <c r="D212" s="3" t="s">
        <v>48</v>
      </c>
      <c r="E212" s="3"/>
      <c r="F212" s="3" t="s">
        <v>65</v>
      </c>
      <c r="G212" s="3" t="s">
        <v>45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370</v>
      </c>
      <c r="B213" s="3" t="s">
        <v>371</v>
      </c>
      <c r="C213" s="3" t="s">
        <v>3</v>
      </c>
      <c r="D213" s="3" t="s">
        <v>48</v>
      </c>
      <c r="E213" s="3" t="s">
        <v>43</v>
      </c>
      <c r="F213" s="3" t="s">
        <v>44</v>
      </c>
      <c r="G213" s="3" t="s">
        <v>45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372</v>
      </c>
      <c r="B214" s="3" t="s">
        <v>373</v>
      </c>
      <c r="C214" s="3" t="s">
        <v>3</v>
      </c>
      <c r="D214" s="3" t="s">
        <v>36</v>
      </c>
      <c r="E214" s="3" t="s">
        <v>37</v>
      </c>
      <c r="F214" s="3" t="s">
        <v>44</v>
      </c>
      <c r="G214" s="3" t="s">
        <v>45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374</v>
      </c>
      <c r="B215" s="3" t="s">
        <v>108</v>
      </c>
      <c r="C215" s="3" t="s">
        <v>3</v>
      </c>
      <c r="D215" s="3" t="s">
        <v>48</v>
      </c>
      <c r="E215" s="3" t="s">
        <v>37</v>
      </c>
      <c r="F215" s="3" t="s">
        <v>49</v>
      </c>
      <c r="G215" s="3" t="s">
        <v>45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375</v>
      </c>
      <c r="B216" s="3" t="s">
        <v>83</v>
      </c>
      <c r="C216" s="3" t="s">
        <v>3</v>
      </c>
      <c r="D216" s="3" t="s">
        <v>53</v>
      </c>
      <c r="E216" s="3" t="s">
        <v>43</v>
      </c>
      <c r="F216" s="3" t="s">
        <v>38</v>
      </c>
      <c r="G216" s="3" t="s">
        <v>39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376</v>
      </c>
      <c r="B217" s="3" t="s">
        <v>377</v>
      </c>
      <c r="C217" s="3" t="s">
        <v>3</v>
      </c>
      <c r="D217" s="3" t="s">
        <v>53</v>
      </c>
      <c r="E217" s="3" t="s">
        <v>43</v>
      </c>
      <c r="F217" s="3" t="s">
        <v>68</v>
      </c>
      <c r="G217" s="3" t="s">
        <v>39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378</v>
      </c>
      <c r="B218" s="3" t="s">
        <v>81</v>
      </c>
      <c r="C218" s="3" t="s">
        <v>3</v>
      </c>
      <c r="D218" s="3" t="s">
        <v>36</v>
      </c>
      <c r="E218" s="3" t="s">
        <v>43</v>
      </c>
      <c r="F218" s="3" t="s">
        <v>49</v>
      </c>
      <c r="G218" s="3" t="s">
        <v>39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379</v>
      </c>
      <c r="B219" s="3" t="s">
        <v>380</v>
      </c>
      <c r="C219" s="3" t="s">
        <v>3</v>
      </c>
      <c r="D219" s="3" t="s">
        <v>36</v>
      </c>
      <c r="E219" s="3" t="s">
        <v>56</v>
      </c>
      <c r="F219" s="3" t="s">
        <v>68</v>
      </c>
      <c r="G219" s="3" t="s">
        <v>45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3" t="s">
        <v>381</v>
      </c>
      <c r="B220" s="3" t="s">
        <v>148</v>
      </c>
      <c r="C220" s="3" t="s">
        <v>3</v>
      </c>
      <c r="D220" s="3" t="s">
        <v>48</v>
      </c>
      <c r="E220" s="3" t="s">
        <v>43</v>
      </c>
      <c r="F220" s="3" t="s">
        <v>49</v>
      </c>
      <c r="G220" s="3" t="s">
        <v>45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382</v>
      </c>
      <c r="B221" s="3" t="s">
        <v>164</v>
      </c>
      <c r="C221" s="3" t="s">
        <v>3</v>
      </c>
      <c r="D221" s="3" t="s">
        <v>42</v>
      </c>
      <c r="E221" s="3" t="s">
        <v>43</v>
      </c>
      <c r="F221" s="3" t="s">
        <v>49</v>
      </c>
      <c r="G221" s="3" t="s">
        <v>45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383</v>
      </c>
      <c r="B222" s="3" t="s">
        <v>202</v>
      </c>
      <c r="C222" s="3" t="s">
        <v>3</v>
      </c>
      <c r="D222" s="3" t="s">
        <v>48</v>
      </c>
      <c r="E222" s="3" t="s">
        <v>56</v>
      </c>
      <c r="F222" s="3" t="s">
        <v>65</v>
      </c>
      <c r="G222" s="3" t="s">
        <v>50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384</v>
      </c>
      <c r="B223" s="3" t="s">
        <v>141</v>
      </c>
      <c r="C223" s="3" t="s">
        <v>3</v>
      </c>
      <c r="D223" s="3" t="s">
        <v>53</v>
      </c>
      <c r="E223" s="3" t="s">
        <v>43</v>
      </c>
      <c r="F223" s="3" t="s">
        <v>68</v>
      </c>
      <c r="G223" s="3" t="s">
        <v>45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385</v>
      </c>
      <c r="B224" s="3" t="s">
        <v>386</v>
      </c>
      <c r="C224" s="3" t="s">
        <v>3</v>
      </c>
      <c r="D224" s="3" t="s">
        <v>42</v>
      </c>
      <c r="E224" s="3" t="s">
        <v>43</v>
      </c>
      <c r="F224" s="3" t="s">
        <v>38</v>
      </c>
      <c r="G224" s="3" t="s">
        <v>45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387</v>
      </c>
      <c r="B225" s="3" t="s">
        <v>164</v>
      </c>
      <c r="C225" s="3" t="s">
        <v>3</v>
      </c>
      <c r="D225" s="3" t="s">
        <v>42</v>
      </c>
      <c r="E225" s="3" t="s">
        <v>37</v>
      </c>
      <c r="F225" s="3" t="s">
        <v>44</v>
      </c>
      <c r="G225" s="3" t="s">
        <v>45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388</v>
      </c>
      <c r="B226" s="3" t="s">
        <v>93</v>
      </c>
      <c r="C226" s="3" t="s">
        <v>3</v>
      </c>
      <c r="D226" s="3" t="s">
        <v>53</v>
      </c>
      <c r="E226" s="3" t="s">
        <v>43</v>
      </c>
      <c r="F226" s="3" t="s">
        <v>65</v>
      </c>
      <c r="G226" s="3" t="s">
        <v>50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389</v>
      </c>
      <c r="B227" s="3" t="s">
        <v>334</v>
      </c>
      <c r="C227" s="3" t="s">
        <v>3</v>
      </c>
      <c r="D227" s="3" t="s">
        <v>53</v>
      </c>
      <c r="E227" s="3" t="s">
        <v>43</v>
      </c>
      <c r="F227" s="3" t="s">
        <v>44</v>
      </c>
      <c r="G227" s="3" t="s">
        <v>39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390</v>
      </c>
      <c r="B228" s="3" t="s">
        <v>146</v>
      </c>
      <c r="C228" s="3" t="s">
        <v>3</v>
      </c>
      <c r="D228" s="3" t="s">
        <v>36</v>
      </c>
      <c r="E228" s="3" t="s">
        <v>56</v>
      </c>
      <c r="F228" s="3" t="s">
        <v>38</v>
      </c>
      <c r="G228" s="3" t="s">
        <v>45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391</v>
      </c>
      <c r="B229" s="3" t="s">
        <v>64</v>
      </c>
      <c r="C229" s="3" t="s">
        <v>3</v>
      </c>
      <c r="D229" s="3" t="s">
        <v>36</v>
      </c>
      <c r="E229" s="3" t="s">
        <v>56</v>
      </c>
      <c r="F229" s="3" t="s">
        <v>44</v>
      </c>
      <c r="G229" s="3" t="s">
        <v>45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392</v>
      </c>
      <c r="B230" s="3" t="s">
        <v>371</v>
      </c>
      <c r="C230" s="3" t="s">
        <v>3</v>
      </c>
      <c r="D230" s="3" t="s">
        <v>36</v>
      </c>
      <c r="E230" s="3" t="s">
        <v>43</v>
      </c>
      <c r="F230" s="3" t="s">
        <v>44</v>
      </c>
      <c r="G230" s="3" t="s">
        <v>39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393</v>
      </c>
      <c r="B231" s="3" t="s">
        <v>188</v>
      </c>
      <c r="C231" s="3" t="s">
        <v>3</v>
      </c>
      <c r="D231" s="3" t="s">
        <v>42</v>
      </c>
      <c r="E231" s="3" t="s">
        <v>43</v>
      </c>
      <c r="F231" s="3" t="s">
        <v>44</v>
      </c>
      <c r="G231" s="3" t="s">
        <v>50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394</v>
      </c>
      <c r="B232" s="3" t="s">
        <v>386</v>
      </c>
      <c r="C232" s="3" t="s">
        <v>3</v>
      </c>
      <c r="D232" s="3" t="s">
        <v>36</v>
      </c>
      <c r="E232" s="3" t="s">
        <v>43</v>
      </c>
      <c r="F232" s="3" t="s">
        <v>68</v>
      </c>
      <c r="G232" s="3" t="s">
        <v>45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395</v>
      </c>
      <c r="B233" s="3" t="s">
        <v>52</v>
      </c>
      <c r="C233" s="3" t="s">
        <v>3</v>
      </c>
      <c r="D233" s="3" t="s">
        <v>36</v>
      </c>
      <c r="E233" s="3" t="s">
        <v>37</v>
      </c>
      <c r="F233" s="3" t="s">
        <v>44</v>
      </c>
      <c r="G233" s="3" t="s">
        <v>39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396</v>
      </c>
      <c r="B234" s="3" t="s">
        <v>141</v>
      </c>
      <c r="C234" s="3" t="s">
        <v>3</v>
      </c>
      <c r="D234" s="3" t="s">
        <v>42</v>
      </c>
      <c r="E234" s="3" t="s">
        <v>43</v>
      </c>
      <c r="F234" s="3" t="s">
        <v>44</v>
      </c>
      <c r="G234" s="3" t="s">
        <v>39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397</v>
      </c>
      <c r="B235" s="3" t="s">
        <v>237</v>
      </c>
      <c r="C235" s="3" t="s">
        <v>3</v>
      </c>
      <c r="D235" s="3" t="s">
        <v>36</v>
      </c>
      <c r="E235" s="3" t="s">
        <v>56</v>
      </c>
      <c r="F235" s="3" t="s">
        <v>44</v>
      </c>
      <c r="G235" s="3" t="s">
        <v>45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398</v>
      </c>
      <c r="B236" s="3" t="s">
        <v>399</v>
      </c>
      <c r="C236" s="3" t="s">
        <v>3</v>
      </c>
      <c r="D236" s="3" t="s">
        <v>36</v>
      </c>
      <c r="E236" s="3" t="s">
        <v>43</v>
      </c>
      <c r="F236" s="3" t="s">
        <v>44</v>
      </c>
      <c r="G236" s="3" t="s">
        <v>45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400</v>
      </c>
      <c r="B237" s="3" t="s">
        <v>248</v>
      </c>
      <c r="C237" s="3" t="s">
        <v>3</v>
      </c>
      <c r="D237" s="3" t="s">
        <v>42</v>
      </c>
      <c r="E237" s="3" t="s">
        <v>43</v>
      </c>
      <c r="F237" s="3" t="s">
        <v>68</v>
      </c>
      <c r="G237" s="3" t="s">
        <v>45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401</v>
      </c>
      <c r="B238" s="3" t="s">
        <v>402</v>
      </c>
      <c r="C238" s="3" t="s">
        <v>3</v>
      </c>
      <c r="D238" s="3" t="s">
        <v>53</v>
      </c>
      <c r="E238" s="3" t="s">
        <v>37</v>
      </c>
      <c r="F238" s="3" t="s">
        <v>44</v>
      </c>
      <c r="G238" s="3" t="s">
        <v>50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403</v>
      </c>
      <c r="B239" s="3" t="s">
        <v>404</v>
      </c>
      <c r="C239" s="3" t="s">
        <v>3</v>
      </c>
      <c r="D239" s="3" t="s">
        <v>36</v>
      </c>
      <c r="E239" s="3" t="s">
        <v>37</v>
      </c>
      <c r="F239" s="3" t="s">
        <v>68</v>
      </c>
      <c r="G239" s="3" t="s">
        <v>50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405</v>
      </c>
      <c r="B240" s="3" t="s">
        <v>334</v>
      </c>
      <c r="C240" s="3" t="s">
        <v>3</v>
      </c>
      <c r="D240" s="3" t="s">
        <v>36</v>
      </c>
      <c r="E240" s="3" t="s">
        <v>37</v>
      </c>
      <c r="F240" s="3" t="s">
        <v>68</v>
      </c>
      <c r="G240" s="3" t="s">
        <v>45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406</v>
      </c>
      <c r="B241" s="3" t="s">
        <v>407</v>
      </c>
      <c r="C241" s="3" t="s">
        <v>3</v>
      </c>
      <c r="D241" s="3" t="s">
        <v>42</v>
      </c>
      <c r="E241" s="3" t="s">
        <v>43</v>
      </c>
      <c r="F241" s="3" t="s">
        <v>65</v>
      </c>
      <c r="G241" s="3" t="s">
        <v>39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408</v>
      </c>
      <c r="B242" s="3" t="s">
        <v>64</v>
      </c>
      <c r="C242" s="3" t="s">
        <v>3</v>
      </c>
      <c r="D242" s="3" t="s">
        <v>42</v>
      </c>
      <c r="E242" s="3" t="s">
        <v>43</v>
      </c>
      <c r="F242" s="3" t="s">
        <v>38</v>
      </c>
      <c r="G242" s="3" t="s">
        <v>45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409</v>
      </c>
      <c r="B243" s="3" t="s">
        <v>254</v>
      </c>
      <c r="C243" s="3" t="s">
        <v>3</v>
      </c>
      <c r="D243" s="3" t="s">
        <v>36</v>
      </c>
      <c r="E243" s="3" t="s">
        <v>43</v>
      </c>
      <c r="F243" s="3" t="s">
        <v>44</v>
      </c>
      <c r="G243" s="3" t="s">
        <v>39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410</v>
      </c>
      <c r="B244" s="3" t="s">
        <v>184</v>
      </c>
      <c r="C244" s="3" t="s">
        <v>3</v>
      </c>
      <c r="D244" s="3" t="s">
        <v>48</v>
      </c>
      <c r="E244" s="3" t="s">
        <v>43</v>
      </c>
      <c r="F244" s="3" t="s">
        <v>44</v>
      </c>
      <c r="G244" s="3" t="s">
        <v>39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411</v>
      </c>
      <c r="B245" s="3" t="s">
        <v>354</v>
      </c>
      <c r="C245" s="3" t="s">
        <v>3</v>
      </c>
      <c r="D245" s="3" t="s">
        <v>48</v>
      </c>
      <c r="E245" s="3" t="s">
        <v>56</v>
      </c>
      <c r="F245" s="3" t="s">
        <v>68</v>
      </c>
      <c r="G245" s="3" t="s">
        <v>50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412</v>
      </c>
      <c r="B246" s="3" t="s">
        <v>58</v>
      </c>
      <c r="C246" s="3" t="s">
        <v>3</v>
      </c>
      <c r="D246" s="3" t="s">
        <v>36</v>
      </c>
      <c r="E246" s="3" t="s">
        <v>43</v>
      </c>
      <c r="F246" s="3" t="s">
        <v>68</v>
      </c>
      <c r="G246" s="3" t="s">
        <v>45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413</v>
      </c>
      <c r="B247" s="3" t="s">
        <v>365</v>
      </c>
      <c r="C247" s="3" t="s">
        <v>3</v>
      </c>
      <c r="D247" s="3" t="s">
        <v>42</v>
      </c>
      <c r="E247" s="3" t="s">
        <v>43</v>
      </c>
      <c r="F247" s="3" t="s">
        <v>49</v>
      </c>
      <c r="G247" s="3" t="s">
        <v>50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414</v>
      </c>
      <c r="B248" s="3" t="s">
        <v>415</v>
      </c>
      <c r="C248" s="3" t="s">
        <v>3</v>
      </c>
      <c r="D248" s="3" t="s">
        <v>53</v>
      </c>
      <c r="E248" s="3" t="s">
        <v>43</v>
      </c>
      <c r="F248" s="3" t="s">
        <v>65</v>
      </c>
      <c r="G248" s="3" t="s">
        <v>39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416</v>
      </c>
      <c r="B249" s="3" t="s">
        <v>266</v>
      </c>
      <c r="C249" s="3" t="s">
        <v>3</v>
      </c>
      <c r="D249" s="3" t="s">
        <v>42</v>
      </c>
      <c r="E249" s="3" t="s">
        <v>43</v>
      </c>
      <c r="F249" s="3" t="s">
        <v>49</v>
      </c>
      <c r="G249" s="3" t="s">
        <v>45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417</v>
      </c>
      <c r="B250" s="3" t="s">
        <v>361</v>
      </c>
      <c r="C250" s="3" t="s">
        <v>3</v>
      </c>
      <c r="D250" s="3" t="s">
        <v>36</v>
      </c>
      <c r="E250" s="3" t="s">
        <v>43</v>
      </c>
      <c r="F250" s="3" t="s">
        <v>68</v>
      </c>
      <c r="G250" s="3" t="s">
        <v>45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418</v>
      </c>
      <c r="B251" s="3" t="s">
        <v>205</v>
      </c>
      <c r="C251" s="3" t="s">
        <v>3</v>
      </c>
      <c r="D251" s="3" t="s">
        <v>36</v>
      </c>
      <c r="E251" s="3" t="s">
        <v>37</v>
      </c>
      <c r="F251" s="3" t="s">
        <v>38</v>
      </c>
      <c r="G251" s="3" t="s">
        <v>45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419</v>
      </c>
      <c r="B252" s="3" t="s">
        <v>239</v>
      </c>
      <c r="C252" s="3" t="s">
        <v>3</v>
      </c>
      <c r="D252" s="3" t="s">
        <v>36</v>
      </c>
      <c r="E252" s="3" t="s">
        <v>37</v>
      </c>
      <c r="F252" s="3" t="s">
        <v>38</v>
      </c>
      <c r="G252" s="3" t="s">
        <v>39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420</v>
      </c>
      <c r="B253" s="3" t="s">
        <v>421</v>
      </c>
      <c r="C253" s="3" t="s">
        <v>3</v>
      </c>
      <c r="D253" s="3" t="s">
        <v>42</v>
      </c>
      <c r="E253" s="3" t="s">
        <v>43</v>
      </c>
      <c r="F253" s="3" t="s">
        <v>44</v>
      </c>
      <c r="G253" s="3" t="s">
        <v>45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422</v>
      </c>
      <c r="B254" s="3" t="s">
        <v>127</v>
      </c>
      <c r="C254" s="3" t="s">
        <v>3</v>
      </c>
      <c r="D254" s="3" t="s">
        <v>48</v>
      </c>
      <c r="E254" s="3" t="s">
        <v>37</v>
      </c>
      <c r="F254" s="3" t="s">
        <v>44</v>
      </c>
      <c r="G254" s="3" t="s">
        <v>45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423</v>
      </c>
      <c r="B255" s="3" t="s">
        <v>354</v>
      </c>
      <c r="C255" s="3" t="s">
        <v>3</v>
      </c>
      <c r="D255" s="3" t="s">
        <v>36</v>
      </c>
      <c r="E255" s="3" t="s">
        <v>43</v>
      </c>
      <c r="F255" s="3" t="s">
        <v>49</v>
      </c>
      <c r="G255" s="3" t="s">
        <v>50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424</v>
      </c>
      <c r="B256" s="3" t="s">
        <v>425</v>
      </c>
      <c r="C256" s="3" t="s">
        <v>3</v>
      </c>
      <c r="D256" s="3" t="s">
        <v>36</v>
      </c>
      <c r="E256" s="3" t="s">
        <v>43</v>
      </c>
      <c r="F256" s="3" t="s">
        <v>49</v>
      </c>
      <c r="G256" s="3" t="s">
        <v>39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426</v>
      </c>
      <c r="B257" s="3" t="s">
        <v>169</v>
      </c>
      <c r="C257" s="3" t="s">
        <v>3</v>
      </c>
      <c r="D257" s="3" t="s">
        <v>53</v>
      </c>
      <c r="E257" s="3" t="s">
        <v>43</v>
      </c>
      <c r="F257" s="3" t="s">
        <v>49</v>
      </c>
      <c r="G257" s="3" t="s">
        <v>45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427</v>
      </c>
      <c r="B258" s="3" t="s">
        <v>428</v>
      </c>
      <c r="C258" s="3" t="s">
        <v>3</v>
      </c>
      <c r="D258" s="3" t="s">
        <v>36</v>
      </c>
      <c r="E258" s="3" t="s">
        <v>43</v>
      </c>
      <c r="F258" s="3" t="s">
        <v>38</v>
      </c>
      <c r="G258" s="3" t="s">
        <v>45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429</v>
      </c>
      <c r="B259" s="3" t="s">
        <v>119</v>
      </c>
      <c r="C259" s="3" t="s">
        <v>3</v>
      </c>
      <c r="D259" s="3" t="s">
        <v>36</v>
      </c>
      <c r="E259" s="3" t="s">
        <v>43</v>
      </c>
      <c r="F259" s="3" t="s">
        <v>49</v>
      </c>
      <c r="G259" s="3" t="s">
        <v>45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430</v>
      </c>
      <c r="B260" s="3" t="s">
        <v>58</v>
      </c>
      <c r="C260" s="3" t="s">
        <v>3</v>
      </c>
      <c r="D260" s="3" t="s">
        <v>48</v>
      </c>
      <c r="E260" s="3" t="s">
        <v>37</v>
      </c>
      <c r="F260" s="3" t="s">
        <v>44</v>
      </c>
      <c r="G260" s="3" t="s">
        <v>45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431</v>
      </c>
      <c r="B261" s="3" t="s">
        <v>35</v>
      </c>
      <c r="C261" s="3" t="s">
        <v>3</v>
      </c>
      <c r="D261" s="3" t="s">
        <v>48</v>
      </c>
      <c r="E261" s="3" t="s">
        <v>37</v>
      </c>
      <c r="F261" s="3" t="s">
        <v>49</v>
      </c>
      <c r="G261" s="3" t="s">
        <v>39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432</v>
      </c>
      <c r="B262" s="3" t="s">
        <v>433</v>
      </c>
      <c r="C262" s="3" t="s">
        <v>3</v>
      </c>
      <c r="D262" s="3" t="s">
        <v>48</v>
      </c>
      <c r="E262" s="3" t="s">
        <v>37</v>
      </c>
      <c r="F262" s="3" t="s">
        <v>68</v>
      </c>
      <c r="G262" s="3" t="s">
        <v>39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434</v>
      </c>
      <c r="B263" s="3" t="s">
        <v>407</v>
      </c>
      <c r="C263" s="3" t="s">
        <v>3</v>
      </c>
      <c r="D263" s="3" t="s">
        <v>48</v>
      </c>
      <c r="E263" s="3" t="s">
        <v>37</v>
      </c>
      <c r="F263" s="3" t="s">
        <v>65</v>
      </c>
      <c r="G263" s="3" t="s">
        <v>45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435</v>
      </c>
      <c r="B264" s="3" t="s">
        <v>121</v>
      </c>
      <c r="C264" s="3" t="s">
        <v>3</v>
      </c>
      <c r="D264" s="3" t="s">
        <v>42</v>
      </c>
      <c r="E264" s="3" t="s">
        <v>37</v>
      </c>
      <c r="F264" s="3" t="s">
        <v>44</v>
      </c>
      <c r="G264" s="3" t="s">
        <v>39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436</v>
      </c>
      <c r="B265" s="3" t="s">
        <v>55</v>
      </c>
      <c r="C265" s="3" t="s">
        <v>3</v>
      </c>
      <c r="D265" s="3" t="s">
        <v>53</v>
      </c>
      <c r="E265" s="3" t="s">
        <v>43</v>
      </c>
      <c r="F265" s="3" t="s">
        <v>44</v>
      </c>
      <c r="G265" s="3" t="s">
        <v>45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437</v>
      </c>
      <c r="B266" s="3" t="s">
        <v>87</v>
      </c>
      <c r="C266" s="3" t="s">
        <v>3</v>
      </c>
      <c r="D266" s="3" t="s">
        <v>42</v>
      </c>
      <c r="E266" s="3" t="s">
        <v>43</v>
      </c>
      <c r="F266" s="3" t="s">
        <v>68</v>
      </c>
      <c r="G266" s="3" t="s">
        <v>45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438</v>
      </c>
      <c r="B267" s="3" t="s">
        <v>301</v>
      </c>
      <c r="C267" s="3" t="s">
        <v>3</v>
      </c>
      <c r="D267" s="3" t="s">
        <v>42</v>
      </c>
      <c r="E267" s="3" t="s">
        <v>43</v>
      </c>
      <c r="F267" s="3" t="s">
        <v>65</v>
      </c>
      <c r="G267" s="3" t="s">
        <v>45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439</v>
      </c>
      <c r="B268" s="3" t="s">
        <v>180</v>
      </c>
      <c r="C268" s="3" t="s">
        <v>3</v>
      </c>
      <c r="D268" s="3" t="s">
        <v>48</v>
      </c>
      <c r="E268" s="3" t="s">
        <v>43</v>
      </c>
      <c r="F268" s="3" t="s">
        <v>68</v>
      </c>
      <c r="G268" s="3" t="s">
        <v>45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440</v>
      </c>
      <c r="B269" s="3" t="s">
        <v>315</v>
      </c>
      <c r="C269" s="3" t="s">
        <v>3</v>
      </c>
      <c r="D269" s="3" t="s">
        <v>53</v>
      </c>
      <c r="E269" s="3" t="s">
        <v>43</v>
      </c>
      <c r="F269" s="3" t="s">
        <v>44</v>
      </c>
      <c r="G269" s="3" t="s">
        <v>45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441</v>
      </c>
      <c r="B270" s="3" t="s">
        <v>139</v>
      </c>
      <c r="C270" s="3" t="s">
        <v>3</v>
      </c>
      <c r="D270" s="3" t="s">
        <v>48</v>
      </c>
      <c r="E270" s="3" t="s">
        <v>43</v>
      </c>
      <c r="F270" s="3" t="s">
        <v>65</v>
      </c>
      <c r="G270" s="3" t="s">
        <v>45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442</v>
      </c>
      <c r="B271" s="3" t="s">
        <v>79</v>
      </c>
      <c r="C271" s="3" t="s">
        <v>3</v>
      </c>
      <c r="D271" s="3" t="s">
        <v>48</v>
      </c>
      <c r="E271" s="3" t="s">
        <v>56</v>
      </c>
      <c r="F271" s="3" t="s">
        <v>49</v>
      </c>
      <c r="G271" s="3" t="s">
        <v>39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443</v>
      </c>
      <c r="B272" s="3" t="s">
        <v>101</v>
      </c>
      <c r="C272" s="3" t="s">
        <v>3</v>
      </c>
      <c r="D272" s="3" t="s">
        <v>48</v>
      </c>
      <c r="E272" s="3" t="s">
        <v>37</v>
      </c>
      <c r="F272" s="3" t="s">
        <v>65</v>
      </c>
      <c r="G272" s="3" t="s">
        <v>45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444</v>
      </c>
      <c r="B273" s="3" t="s">
        <v>182</v>
      </c>
      <c r="C273" s="3" t="s">
        <v>3</v>
      </c>
      <c r="D273" s="3" t="s">
        <v>42</v>
      </c>
      <c r="E273" s="3" t="s">
        <v>37</v>
      </c>
      <c r="F273" s="3" t="s">
        <v>44</v>
      </c>
      <c r="G273" s="3" t="s">
        <v>45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445</v>
      </c>
      <c r="B274" s="3" t="s">
        <v>446</v>
      </c>
      <c r="C274" s="3" t="s">
        <v>3</v>
      </c>
      <c r="D274" s="3" t="s">
        <v>36</v>
      </c>
      <c r="E274" s="3" t="s">
        <v>43</v>
      </c>
      <c r="F274" s="3" t="s">
        <v>65</v>
      </c>
      <c r="G274" s="3" t="s">
        <v>45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447</v>
      </c>
      <c r="B275" s="3" t="s">
        <v>91</v>
      </c>
      <c r="C275" s="3" t="s">
        <v>3</v>
      </c>
      <c r="D275" s="3" t="s">
        <v>53</v>
      </c>
      <c r="E275" s="3" t="s">
        <v>43</v>
      </c>
      <c r="F275" s="3" t="s">
        <v>49</v>
      </c>
      <c r="G275" s="3" t="s">
        <v>39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448</v>
      </c>
      <c r="B276" s="3" t="s">
        <v>399</v>
      </c>
      <c r="C276" s="3" t="s">
        <v>3</v>
      </c>
      <c r="D276" s="3" t="s">
        <v>42</v>
      </c>
      <c r="E276" s="3" t="s">
        <v>37</v>
      </c>
      <c r="F276" s="3" t="s">
        <v>49</v>
      </c>
      <c r="G276" s="3" t="s">
        <v>50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449</v>
      </c>
      <c r="B277" s="3" t="s">
        <v>450</v>
      </c>
      <c r="C277" s="3" t="s">
        <v>3</v>
      </c>
      <c r="D277" s="3" t="s">
        <v>36</v>
      </c>
      <c r="E277" s="3" t="s">
        <v>43</v>
      </c>
      <c r="F277" s="3" t="s">
        <v>44</v>
      </c>
      <c r="G277" s="3" t="s">
        <v>39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451</v>
      </c>
      <c r="B278" s="3" t="s">
        <v>452</v>
      </c>
      <c r="C278" s="3" t="s">
        <v>3</v>
      </c>
      <c r="D278" s="3" t="s">
        <v>53</v>
      </c>
      <c r="E278" s="3" t="s">
        <v>43</v>
      </c>
      <c r="F278" s="3" t="s">
        <v>44</v>
      </c>
      <c r="G278" s="3" t="s">
        <v>39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453</v>
      </c>
      <c r="B279" s="3" t="s">
        <v>283</v>
      </c>
      <c r="C279" s="3" t="s">
        <v>3</v>
      </c>
      <c r="D279" s="3" t="s">
        <v>36</v>
      </c>
      <c r="E279" s="3" t="s">
        <v>43</v>
      </c>
      <c r="F279" s="3" t="s">
        <v>38</v>
      </c>
      <c r="G279" s="3" t="s">
        <v>45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454</v>
      </c>
      <c r="B280" s="3" t="s">
        <v>41</v>
      </c>
      <c r="C280" s="3" t="s">
        <v>3</v>
      </c>
      <c r="D280" s="3" t="s">
        <v>36</v>
      </c>
      <c r="E280" s="3" t="s">
        <v>56</v>
      </c>
      <c r="F280" s="3" t="s">
        <v>49</v>
      </c>
      <c r="G280" s="3" t="s">
        <v>50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455</v>
      </c>
      <c r="B281" s="3" t="s">
        <v>205</v>
      </c>
      <c r="C281" s="3" t="s">
        <v>3</v>
      </c>
      <c r="D281" s="3" t="s">
        <v>36</v>
      </c>
      <c r="E281" s="3" t="s">
        <v>43</v>
      </c>
      <c r="F281" s="3" t="s">
        <v>44</v>
      </c>
      <c r="G281" s="3" t="s">
        <v>45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456</v>
      </c>
      <c r="B282" s="3" t="s">
        <v>457</v>
      </c>
      <c r="C282" s="3" t="s">
        <v>3</v>
      </c>
      <c r="D282" s="3" t="s">
        <v>36</v>
      </c>
      <c r="E282" s="3" t="s">
        <v>37</v>
      </c>
      <c r="F282" s="3" t="s">
        <v>44</v>
      </c>
      <c r="G282" s="3" t="s">
        <v>45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458</v>
      </c>
      <c r="B283" s="3" t="s">
        <v>459</v>
      </c>
      <c r="C283" s="3" t="s">
        <v>3</v>
      </c>
      <c r="D283" s="3" t="s">
        <v>48</v>
      </c>
      <c r="E283" s="3" t="s">
        <v>43</v>
      </c>
      <c r="F283" s="3" t="s">
        <v>49</v>
      </c>
      <c r="G283" s="3" t="s">
        <v>50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460</v>
      </c>
      <c r="B284" s="3" t="s">
        <v>365</v>
      </c>
      <c r="C284" s="3" t="s">
        <v>3</v>
      </c>
      <c r="D284" s="3" t="s">
        <v>53</v>
      </c>
      <c r="E284" s="3" t="s">
        <v>43</v>
      </c>
      <c r="F284" s="3" t="s">
        <v>68</v>
      </c>
      <c r="G284" s="3" t="s">
        <v>45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461</v>
      </c>
      <c r="B285" s="3" t="s">
        <v>180</v>
      </c>
      <c r="C285" s="3" t="s">
        <v>3</v>
      </c>
      <c r="D285" s="3" t="s">
        <v>36</v>
      </c>
      <c r="E285" s="3" t="s">
        <v>37</v>
      </c>
      <c r="F285" s="3" t="s">
        <v>65</v>
      </c>
      <c r="G285" s="3" t="s">
        <v>39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462</v>
      </c>
      <c r="B286" s="3" t="s">
        <v>276</v>
      </c>
      <c r="C286" s="3" t="s">
        <v>3</v>
      </c>
      <c r="D286" s="3" t="s">
        <v>53</v>
      </c>
      <c r="E286" s="3" t="s">
        <v>37</v>
      </c>
      <c r="F286" s="3" t="s">
        <v>44</v>
      </c>
      <c r="G286" s="3" t="s">
        <v>45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463</v>
      </c>
      <c r="B287" s="3" t="s">
        <v>464</v>
      </c>
      <c r="C287" s="3" t="s">
        <v>3</v>
      </c>
      <c r="D287" s="3" t="s">
        <v>36</v>
      </c>
      <c r="E287" s="3" t="s">
        <v>37</v>
      </c>
      <c r="F287" s="3" t="s">
        <v>49</v>
      </c>
      <c r="G287" s="3" t="s">
        <v>39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465</v>
      </c>
      <c r="B288" s="3" t="s">
        <v>466</v>
      </c>
      <c r="C288" s="3" t="s">
        <v>3</v>
      </c>
      <c r="D288" s="3" t="s">
        <v>48</v>
      </c>
      <c r="E288" s="3" t="s">
        <v>43</v>
      </c>
      <c r="F288" s="3" t="s">
        <v>68</v>
      </c>
      <c r="G288" s="3" t="s">
        <v>45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467</v>
      </c>
      <c r="B289" s="3" t="s">
        <v>73</v>
      </c>
      <c r="C289" s="3" t="s">
        <v>3</v>
      </c>
      <c r="D289" s="3" t="s">
        <v>42</v>
      </c>
      <c r="E289" s="3" t="s">
        <v>43</v>
      </c>
      <c r="F289" s="3" t="s">
        <v>38</v>
      </c>
      <c r="G289" s="3" t="s">
        <v>39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468</v>
      </c>
      <c r="B290" s="3" t="s">
        <v>180</v>
      </c>
      <c r="C290" s="3" t="s">
        <v>3</v>
      </c>
      <c r="D290" s="3" t="s">
        <v>36</v>
      </c>
      <c r="E290" s="3" t="s">
        <v>43</v>
      </c>
      <c r="F290" s="3" t="s">
        <v>68</v>
      </c>
      <c r="G290" s="3" t="s">
        <v>45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469</v>
      </c>
      <c r="B291" s="3" t="s">
        <v>281</v>
      </c>
      <c r="C291" s="3" t="s">
        <v>3</v>
      </c>
      <c r="D291" s="3" t="s">
        <v>42</v>
      </c>
      <c r="E291" s="3" t="s">
        <v>43</v>
      </c>
      <c r="F291" s="3" t="s">
        <v>68</v>
      </c>
      <c r="G291" s="3" t="s">
        <v>39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470</v>
      </c>
      <c r="B292" s="3" t="s">
        <v>35</v>
      </c>
      <c r="C292" s="3" t="s">
        <v>3</v>
      </c>
      <c r="D292" s="3" t="s">
        <v>48</v>
      </c>
      <c r="E292" s="3" t="s">
        <v>43</v>
      </c>
      <c r="F292" s="3" t="s">
        <v>49</v>
      </c>
      <c r="G292" s="3" t="s">
        <v>39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471</v>
      </c>
      <c r="B293" s="3" t="s">
        <v>47</v>
      </c>
      <c r="C293" s="3" t="s">
        <v>3</v>
      </c>
      <c r="D293" s="3" t="s">
        <v>53</v>
      </c>
      <c r="E293" s="3" t="s">
        <v>43</v>
      </c>
      <c r="F293" s="3" t="s">
        <v>68</v>
      </c>
      <c r="G293" s="3" t="s">
        <v>39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472</v>
      </c>
      <c r="B294" s="3" t="s">
        <v>58</v>
      </c>
      <c r="C294" s="3" t="s">
        <v>3</v>
      </c>
      <c r="D294" s="3" t="s">
        <v>36</v>
      </c>
      <c r="E294" s="3" t="s">
        <v>43</v>
      </c>
      <c r="F294" s="3" t="s">
        <v>44</v>
      </c>
      <c r="G294" s="3" t="s">
        <v>45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473</v>
      </c>
      <c r="B295" s="3" t="s">
        <v>474</v>
      </c>
      <c r="C295" s="3" t="s">
        <v>3</v>
      </c>
      <c r="D295" s="3" t="s">
        <v>42</v>
      </c>
      <c r="E295" s="3" t="s">
        <v>37</v>
      </c>
      <c r="F295" s="3" t="s">
        <v>38</v>
      </c>
      <c r="G295" s="3" t="s">
        <v>45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475</v>
      </c>
      <c r="B296" s="3" t="s">
        <v>322</v>
      </c>
      <c r="C296" s="3" t="s">
        <v>3</v>
      </c>
      <c r="D296" s="3" t="s">
        <v>48</v>
      </c>
      <c r="E296" s="3" t="s">
        <v>43</v>
      </c>
      <c r="F296" s="3" t="s">
        <v>44</v>
      </c>
      <c r="G296" s="3" t="s">
        <v>50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476</v>
      </c>
      <c r="B297" s="3" t="s">
        <v>466</v>
      </c>
      <c r="C297" s="3" t="s">
        <v>3</v>
      </c>
      <c r="D297" s="3" t="s">
        <v>48</v>
      </c>
      <c r="E297" s="3" t="s">
        <v>43</v>
      </c>
      <c r="F297" s="3" t="s">
        <v>49</v>
      </c>
      <c r="G297" s="3" t="s">
        <v>50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477</v>
      </c>
      <c r="B298" s="3" t="s">
        <v>89</v>
      </c>
      <c r="C298" s="3" t="s">
        <v>3</v>
      </c>
      <c r="D298" s="3" t="s">
        <v>42</v>
      </c>
      <c r="E298" s="3" t="s">
        <v>43</v>
      </c>
      <c r="F298" s="3" t="s">
        <v>68</v>
      </c>
      <c r="G298" s="3" t="s">
        <v>39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478</v>
      </c>
      <c r="B299" s="3" t="s">
        <v>307</v>
      </c>
      <c r="C299" s="3" t="s">
        <v>3</v>
      </c>
      <c r="D299" s="3" t="s">
        <v>36</v>
      </c>
      <c r="E299" s="3" t="s">
        <v>56</v>
      </c>
      <c r="F299" s="3" t="s">
        <v>38</v>
      </c>
      <c r="G299" s="3" t="s">
        <v>39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479</v>
      </c>
      <c r="B300" s="3" t="s">
        <v>148</v>
      </c>
      <c r="C300" s="3" t="s">
        <v>3</v>
      </c>
      <c r="D300" s="3" t="s">
        <v>48</v>
      </c>
      <c r="E300" s="3" t="s">
        <v>43</v>
      </c>
      <c r="F300" s="3" t="s">
        <v>49</v>
      </c>
      <c r="G300" s="3" t="s">
        <v>45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480</v>
      </c>
      <c r="B301" s="3" t="s">
        <v>371</v>
      </c>
      <c r="C301" s="3" t="s">
        <v>3</v>
      </c>
      <c r="D301" s="3" t="s">
        <v>53</v>
      </c>
      <c r="E301" s="3" t="s">
        <v>43</v>
      </c>
      <c r="F301" s="3"/>
      <c r="G301" s="3" t="s">
        <v>39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481</v>
      </c>
      <c r="B302" s="3" t="s">
        <v>116</v>
      </c>
      <c r="C302" s="3" t="s">
        <v>3</v>
      </c>
      <c r="D302" s="3" t="s">
        <v>36</v>
      </c>
      <c r="E302" s="3" t="s">
        <v>43</v>
      </c>
      <c r="F302" s="3" t="s">
        <v>38</v>
      </c>
      <c r="G302" s="3" t="s">
        <v>39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482</v>
      </c>
      <c r="B303" s="3" t="s">
        <v>219</v>
      </c>
      <c r="C303" s="3" t="s">
        <v>3</v>
      </c>
      <c r="D303" s="3" t="s">
        <v>36</v>
      </c>
      <c r="E303" s="3" t="s">
        <v>43</v>
      </c>
      <c r="F303" s="3" t="s">
        <v>44</v>
      </c>
      <c r="G303" s="3" t="s">
        <v>39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483</v>
      </c>
      <c r="B304" s="3" t="s">
        <v>399</v>
      </c>
      <c r="C304" s="3" t="s">
        <v>3</v>
      </c>
      <c r="D304" s="3" t="s">
        <v>36</v>
      </c>
      <c r="E304" s="3" t="s">
        <v>37</v>
      </c>
      <c r="F304" s="3" t="s">
        <v>44</v>
      </c>
      <c r="G304" s="3" t="s">
        <v>39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484</v>
      </c>
      <c r="B305" s="3" t="s">
        <v>55</v>
      </c>
      <c r="C305" s="3" t="s">
        <v>3</v>
      </c>
      <c r="D305" s="3" t="s">
        <v>53</v>
      </c>
      <c r="E305" s="3" t="s">
        <v>43</v>
      </c>
      <c r="F305" s="3" t="s">
        <v>68</v>
      </c>
      <c r="G305" s="3" t="s">
        <v>50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485</v>
      </c>
      <c r="B306" s="3" t="s">
        <v>229</v>
      </c>
      <c r="C306" s="3" t="s">
        <v>3</v>
      </c>
      <c r="D306" s="3" t="s">
        <v>53</v>
      </c>
      <c r="E306" s="3" t="s">
        <v>56</v>
      </c>
      <c r="F306" s="3" t="s">
        <v>68</v>
      </c>
      <c r="G306" s="3" t="s">
        <v>50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486</v>
      </c>
      <c r="B307" s="3" t="s">
        <v>106</v>
      </c>
      <c r="C307" s="3" t="s">
        <v>3</v>
      </c>
      <c r="D307" s="3" t="s">
        <v>42</v>
      </c>
      <c r="E307" s="3" t="s">
        <v>43</v>
      </c>
      <c r="F307" s="3" t="s">
        <v>44</v>
      </c>
      <c r="G307" s="3" t="s">
        <v>50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487</v>
      </c>
      <c r="B308" s="3" t="s">
        <v>368</v>
      </c>
      <c r="C308" s="3" t="s">
        <v>3</v>
      </c>
      <c r="D308" s="3" t="s">
        <v>36</v>
      </c>
      <c r="E308" s="3" t="s">
        <v>43</v>
      </c>
      <c r="F308" s="3" t="s">
        <v>68</v>
      </c>
      <c r="G308" s="3" t="s">
        <v>45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488</v>
      </c>
      <c r="B309" s="3" t="s">
        <v>239</v>
      </c>
      <c r="C309" s="3" t="s">
        <v>3</v>
      </c>
      <c r="D309" s="3" t="s">
        <v>42</v>
      </c>
      <c r="E309" s="3" t="s">
        <v>56</v>
      </c>
      <c r="F309" s="3" t="s">
        <v>49</v>
      </c>
      <c r="G309" s="3" t="s">
        <v>45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489</v>
      </c>
      <c r="B310" s="3" t="s">
        <v>459</v>
      </c>
      <c r="C310" s="3" t="s">
        <v>3</v>
      </c>
      <c r="D310" s="3" t="s">
        <v>53</v>
      </c>
      <c r="E310" s="3" t="s">
        <v>37</v>
      </c>
      <c r="F310" s="3" t="s">
        <v>38</v>
      </c>
      <c r="G310" s="3" t="s">
        <v>45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490</v>
      </c>
      <c r="B311" s="3" t="s">
        <v>135</v>
      </c>
      <c r="C311" s="3" t="s">
        <v>3</v>
      </c>
      <c r="D311" s="3" t="s">
        <v>53</v>
      </c>
      <c r="E311" s="3" t="s">
        <v>37</v>
      </c>
      <c r="F311" s="3" t="s">
        <v>65</v>
      </c>
      <c r="G311" s="3" t="s">
        <v>39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491</v>
      </c>
      <c r="B312" s="3" t="s">
        <v>41</v>
      </c>
      <c r="C312" s="3" t="s">
        <v>3</v>
      </c>
      <c r="D312" s="3" t="s">
        <v>42</v>
      </c>
      <c r="E312" s="3" t="s">
        <v>43</v>
      </c>
      <c r="F312" s="3" t="s">
        <v>44</v>
      </c>
      <c r="G312" s="3" t="s">
        <v>45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492</v>
      </c>
      <c r="B313" s="3" t="s">
        <v>457</v>
      </c>
      <c r="C313" s="3" t="s">
        <v>3</v>
      </c>
      <c r="D313" s="3" t="s">
        <v>36</v>
      </c>
      <c r="E313" s="3" t="s">
        <v>43</v>
      </c>
      <c r="F313" s="3" t="s">
        <v>44</v>
      </c>
      <c r="G313" s="3" t="s">
        <v>39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493</v>
      </c>
      <c r="B314" s="3" t="s">
        <v>77</v>
      </c>
      <c r="C314" s="3" t="s">
        <v>3</v>
      </c>
      <c r="D314" s="3" t="s">
        <v>53</v>
      </c>
      <c r="E314" s="3" t="s">
        <v>56</v>
      </c>
      <c r="F314" s="3" t="s">
        <v>44</v>
      </c>
      <c r="G314" s="3" t="s">
        <v>45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494</v>
      </c>
      <c r="B315" s="3" t="s">
        <v>229</v>
      </c>
      <c r="C315" s="3" t="s">
        <v>3</v>
      </c>
      <c r="D315" s="3" t="s">
        <v>42</v>
      </c>
      <c r="E315" s="3" t="s">
        <v>43</v>
      </c>
      <c r="F315" s="3" t="s">
        <v>44</v>
      </c>
      <c r="G315" s="3" t="s">
        <v>50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495</v>
      </c>
      <c r="B316" s="3" t="s">
        <v>104</v>
      </c>
      <c r="C316" s="3" t="s">
        <v>3</v>
      </c>
      <c r="D316" s="3" t="s">
        <v>48</v>
      </c>
      <c r="E316" s="3" t="s">
        <v>43</v>
      </c>
      <c r="F316" s="3" t="s">
        <v>44</v>
      </c>
      <c r="G316" s="3" t="s">
        <v>45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496</v>
      </c>
      <c r="B317" s="3" t="s">
        <v>459</v>
      </c>
      <c r="C317" s="3" t="s">
        <v>3</v>
      </c>
      <c r="D317" s="3" t="s">
        <v>48</v>
      </c>
      <c r="E317" s="3" t="s">
        <v>43</v>
      </c>
      <c r="F317" s="3" t="s">
        <v>38</v>
      </c>
      <c r="G317" s="3" t="s">
        <v>45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497</v>
      </c>
      <c r="B318" s="3" t="s">
        <v>354</v>
      </c>
      <c r="C318" s="3" t="s">
        <v>3</v>
      </c>
      <c r="D318" s="3" t="s">
        <v>36</v>
      </c>
      <c r="E318" s="3" t="s">
        <v>37</v>
      </c>
      <c r="F318" s="3" t="s">
        <v>44</v>
      </c>
      <c r="G318" s="3" t="s">
        <v>50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498</v>
      </c>
      <c r="B319" s="3" t="s">
        <v>95</v>
      </c>
      <c r="C319" s="3" t="s">
        <v>3</v>
      </c>
      <c r="D319" s="3" t="s">
        <v>48</v>
      </c>
      <c r="E319" s="3" t="s">
        <v>37</v>
      </c>
      <c r="F319" s="3" t="s">
        <v>65</v>
      </c>
      <c r="G319" s="3" t="s">
        <v>45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499</v>
      </c>
      <c r="B320" s="3" t="s">
        <v>500</v>
      </c>
      <c r="C320" s="3" t="s">
        <v>3</v>
      </c>
      <c r="D320" s="3" t="s">
        <v>36</v>
      </c>
      <c r="E320" s="3" t="s">
        <v>43</v>
      </c>
      <c r="F320" s="3" t="s">
        <v>44</v>
      </c>
      <c r="G320" s="3" t="s">
        <v>45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501</v>
      </c>
      <c r="B321" s="3" t="s">
        <v>273</v>
      </c>
      <c r="C321" s="3" t="s">
        <v>3</v>
      </c>
      <c r="D321" s="3" t="s">
        <v>53</v>
      </c>
      <c r="E321" s="3" t="s">
        <v>37</v>
      </c>
      <c r="F321" s="3" t="s">
        <v>49</v>
      </c>
      <c r="G321" s="3" t="s">
        <v>50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502</v>
      </c>
      <c r="B322" s="3" t="s">
        <v>95</v>
      </c>
      <c r="C322" s="3" t="s">
        <v>3</v>
      </c>
      <c r="D322" s="3" t="s">
        <v>36</v>
      </c>
      <c r="E322" s="3" t="s">
        <v>37</v>
      </c>
      <c r="F322" s="3" t="s">
        <v>65</v>
      </c>
      <c r="G322" s="3" t="s">
        <v>50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503</v>
      </c>
      <c r="B323" s="3" t="s">
        <v>345</v>
      </c>
      <c r="C323" s="3" t="s">
        <v>3</v>
      </c>
      <c r="D323" s="3" t="s">
        <v>36</v>
      </c>
      <c r="E323" s="3" t="s">
        <v>37</v>
      </c>
      <c r="F323" s="3" t="s">
        <v>68</v>
      </c>
      <c r="G323" s="3" t="s">
        <v>39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504</v>
      </c>
      <c r="B324" s="3" t="s">
        <v>373</v>
      </c>
      <c r="C324" s="3" t="s">
        <v>3</v>
      </c>
      <c r="D324" s="3" t="s">
        <v>42</v>
      </c>
      <c r="E324" s="3" t="s">
        <v>43</v>
      </c>
      <c r="F324" s="3" t="s">
        <v>44</v>
      </c>
      <c r="G324" s="3" t="s">
        <v>39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505</v>
      </c>
      <c r="B325" s="3" t="s">
        <v>248</v>
      </c>
      <c r="C325" s="3" t="s">
        <v>3</v>
      </c>
      <c r="D325" s="3" t="s">
        <v>48</v>
      </c>
      <c r="E325" s="3" t="s">
        <v>43</v>
      </c>
      <c r="F325" s="3" t="s">
        <v>68</v>
      </c>
      <c r="G325" s="3" t="s">
        <v>45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506</v>
      </c>
      <c r="B326" s="3" t="s">
        <v>285</v>
      </c>
      <c r="C326" s="3" t="s">
        <v>3</v>
      </c>
      <c r="D326" s="3" t="s">
        <v>48</v>
      </c>
      <c r="E326" s="3" t="s">
        <v>43</v>
      </c>
      <c r="F326" s="3" t="s">
        <v>49</v>
      </c>
      <c r="G326" s="3" t="s">
        <v>45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507</v>
      </c>
      <c r="B327" s="3" t="s">
        <v>158</v>
      </c>
      <c r="C327" s="3" t="s">
        <v>3</v>
      </c>
      <c r="D327" s="3" t="s">
        <v>42</v>
      </c>
      <c r="E327" s="3" t="s">
        <v>43</v>
      </c>
      <c r="F327" s="3" t="s">
        <v>38</v>
      </c>
      <c r="G327" s="3" t="s">
        <v>50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508</v>
      </c>
      <c r="B328" s="3" t="s">
        <v>446</v>
      </c>
      <c r="C328" s="3" t="s">
        <v>3</v>
      </c>
      <c r="D328" s="3" t="s">
        <v>42</v>
      </c>
      <c r="E328" s="3" t="s">
        <v>37</v>
      </c>
      <c r="F328" s="3" t="s">
        <v>38</v>
      </c>
      <c r="G328" s="3" t="s">
        <v>39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509</v>
      </c>
      <c r="B329" s="3" t="s">
        <v>262</v>
      </c>
      <c r="C329" s="3" t="s">
        <v>3</v>
      </c>
      <c r="D329" s="3" t="s">
        <v>42</v>
      </c>
      <c r="E329" s="3" t="s">
        <v>37</v>
      </c>
      <c r="F329" s="3" t="s">
        <v>49</v>
      </c>
      <c r="G329" s="3" t="s">
        <v>45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510</v>
      </c>
      <c r="B330" s="3" t="s">
        <v>129</v>
      </c>
      <c r="C330" s="3" t="s">
        <v>3</v>
      </c>
      <c r="D330" s="3" t="s">
        <v>53</v>
      </c>
      <c r="E330" s="3" t="s">
        <v>43</v>
      </c>
      <c r="F330" s="3" t="s">
        <v>49</v>
      </c>
      <c r="G330" s="3" t="s">
        <v>45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511</v>
      </c>
      <c r="B331" s="3" t="s">
        <v>433</v>
      </c>
      <c r="C331" s="3" t="s">
        <v>3</v>
      </c>
      <c r="D331" s="3" t="s">
        <v>36</v>
      </c>
      <c r="E331" s="3" t="s">
        <v>37</v>
      </c>
      <c r="F331" s="3" t="s">
        <v>44</v>
      </c>
      <c r="G331" s="3" t="s">
        <v>50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512</v>
      </c>
      <c r="B332" s="3" t="s">
        <v>101</v>
      </c>
      <c r="C332" s="3" t="s">
        <v>3</v>
      </c>
      <c r="D332" s="3" t="s">
        <v>48</v>
      </c>
      <c r="E332" s="3" t="s">
        <v>43</v>
      </c>
      <c r="F332" s="3" t="s">
        <v>44</v>
      </c>
      <c r="G332" s="3" t="s">
        <v>45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513</v>
      </c>
      <c r="B333" s="3" t="s">
        <v>500</v>
      </c>
      <c r="C333" s="3" t="s">
        <v>3</v>
      </c>
      <c r="D333" s="3" t="s">
        <v>36</v>
      </c>
      <c r="E333" s="3" t="s">
        <v>43</v>
      </c>
      <c r="F333" s="3" t="s">
        <v>44</v>
      </c>
      <c r="G333" s="3" t="s">
        <v>39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514</v>
      </c>
      <c r="B334" s="3" t="s">
        <v>144</v>
      </c>
      <c r="C334" s="3" t="s">
        <v>3</v>
      </c>
      <c r="D334" s="3" t="s">
        <v>48</v>
      </c>
      <c r="E334" s="3" t="s">
        <v>43</v>
      </c>
      <c r="F334" s="3" t="s">
        <v>44</v>
      </c>
      <c r="G334" s="3" t="s">
        <v>39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515</v>
      </c>
      <c r="B335" s="3" t="s">
        <v>516</v>
      </c>
      <c r="C335" s="3" t="s">
        <v>3</v>
      </c>
      <c r="D335" s="3" t="s">
        <v>42</v>
      </c>
      <c r="E335" s="3" t="s">
        <v>56</v>
      </c>
      <c r="F335" s="3" t="s">
        <v>68</v>
      </c>
      <c r="G335" s="3" t="s">
        <v>45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517</v>
      </c>
      <c r="B336" s="3" t="s">
        <v>188</v>
      </c>
      <c r="C336" s="3" t="s">
        <v>3</v>
      </c>
      <c r="D336" s="3" t="s">
        <v>53</v>
      </c>
      <c r="E336" s="3" t="s">
        <v>43</v>
      </c>
      <c r="F336" s="3" t="s">
        <v>38</v>
      </c>
      <c r="G336" s="3" t="s">
        <v>39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518</v>
      </c>
      <c r="B337" s="3" t="s">
        <v>219</v>
      </c>
      <c r="C337" s="3" t="s">
        <v>3</v>
      </c>
      <c r="D337" s="3" t="s">
        <v>53</v>
      </c>
      <c r="E337" s="3" t="s">
        <v>37</v>
      </c>
      <c r="F337" s="3" t="s">
        <v>44</v>
      </c>
      <c r="G337" s="3" t="s">
        <v>50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519</v>
      </c>
      <c r="B338" s="3" t="s">
        <v>89</v>
      </c>
      <c r="C338" s="3" t="s">
        <v>3</v>
      </c>
      <c r="D338" s="3" t="s">
        <v>42</v>
      </c>
      <c r="E338" s="3" t="s">
        <v>43</v>
      </c>
      <c r="F338" s="3" t="s">
        <v>44</v>
      </c>
      <c r="G338" s="3" t="s">
        <v>45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520</v>
      </c>
      <c r="B339" s="3" t="s">
        <v>464</v>
      </c>
      <c r="C339" s="3" t="s">
        <v>3</v>
      </c>
      <c r="D339" s="3" t="s">
        <v>48</v>
      </c>
      <c r="E339" s="3" t="s">
        <v>43</v>
      </c>
      <c r="F339" s="3" t="s">
        <v>49</v>
      </c>
      <c r="G339" s="3" t="s">
        <v>45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521</v>
      </c>
      <c r="B340" s="3" t="s">
        <v>123</v>
      </c>
      <c r="C340" s="3" t="s">
        <v>3</v>
      </c>
      <c r="D340" s="3" t="s">
        <v>42</v>
      </c>
      <c r="E340" s="3" t="s">
        <v>37</v>
      </c>
      <c r="F340" s="3" t="s">
        <v>65</v>
      </c>
      <c r="G340" s="3" t="s">
        <v>45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522</v>
      </c>
      <c r="B341" s="3" t="s">
        <v>281</v>
      </c>
      <c r="C341" s="3" t="s">
        <v>3</v>
      </c>
      <c r="D341" s="3" t="s">
        <v>42</v>
      </c>
      <c r="E341" s="3" t="s">
        <v>37</v>
      </c>
      <c r="F341" s="3" t="s">
        <v>65</v>
      </c>
      <c r="G341" s="3" t="s">
        <v>45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523</v>
      </c>
      <c r="B342" s="3" t="s">
        <v>171</v>
      </c>
      <c r="C342" s="3" t="s">
        <v>3</v>
      </c>
      <c r="D342" s="3" t="s">
        <v>42</v>
      </c>
      <c r="E342" s="3" t="s">
        <v>56</v>
      </c>
      <c r="F342" s="3" t="s">
        <v>44</v>
      </c>
      <c r="G342" s="3" t="s">
        <v>45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524</v>
      </c>
      <c r="B343" s="3" t="s">
        <v>407</v>
      </c>
      <c r="C343" s="3" t="s">
        <v>3</v>
      </c>
      <c r="D343" s="3" t="s">
        <v>36</v>
      </c>
      <c r="E343" s="3" t="s">
        <v>43</v>
      </c>
      <c r="F343" s="3" t="s">
        <v>49</v>
      </c>
      <c r="G343" s="3" t="s">
        <v>45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525</v>
      </c>
      <c r="B344" s="3" t="s">
        <v>259</v>
      </c>
      <c r="C344" s="3" t="s">
        <v>3</v>
      </c>
      <c r="D344" s="3" t="s">
        <v>53</v>
      </c>
      <c r="E344" s="3" t="s">
        <v>43</v>
      </c>
      <c r="F344" s="3" t="s">
        <v>65</v>
      </c>
      <c r="G344" s="3" t="s">
        <v>39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526</v>
      </c>
      <c r="B345" s="3" t="s">
        <v>166</v>
      </c>
      <c r="C345" s="3" t="s">
        <v>3</v>
      </c>
      <c r="D345" s="3" t="s">
        <v>53</v>
      </c>
      <c r="E345" s="3" t="s">
        <v>56</v>
      </c>
      <c r="F345" s="3" t="s">
        <v>44</v>
      </c>
      <c r="G345" s="3" t="s">
        <v>39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527</v>
      </c>
      <c r="B346" s="3" t="s">
        <v>180</v>
      </c>
      <c r="C346" s="3" t="s">
        <v>3</v>
      </c>
      <c r="D346" s="3" t="s">
        <v>53</v>
      </c>
      <c r="E346" s="3" t="s">
        <v>43</v>
      </c>
      <c r="F346" s="3" t="s">
        <v>68</v>
      </c>
      <c r="G346" s="3" t="s">
        <v>50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528</v>
      </c>
      <c r="B347" s="3" t="s">
        <v>334</v>
      </c>
      <c r="C347" s="3" t="s">
        <v>3</v>
      </c>
      <c r="D347" s="3" t="s">
        <v>48</v>
      </c>
      <c r="E347" s="3" t="s">
        <v>43</v>
      </c>
      <c r="F347" s="3" t="s">
        <v>49</v>
      </c>
      <c r="G347" s="3" t="s">
        <v>45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529</v>
      </c>
      <c r="B348" s="3" t="s">
        <v>530</v>
      </c>
      <c r="C348" s="3" t="s">
        <v>3</v>
      </c>
      <c r="D348" s="3" t="s">
        <v>53</v>
      </c>
      <c r="E348" s="3" t="s">
        <v>37</v>
      </c>
      <c r="F348" s="3" t="s">
        <v>49</v>
      </c>
      <c r="G348" s="3" t="s">
        <v>45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531</v>
      </c>
      <c r="B349" s="3" t="s">
        <v>237</v>
      </c>
      <c r="C349" s="3" t="s">
        <v>3</v>
      </c>
      <c r="D349" s="3" t="s">
        <v>36</v>
      </c>
      <c r="E349" s="3" t="s">
        <v>56</v>
      </c>
      <c r="F349" s="3" t="s">
        <v>68</v>
      </c>
      <c r="G349" s="3" t="s">
        <v>39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532</v>
      </c>
      <c r="B350" s="3" t="s">
        <v>186</v>
      </c>
      <c r="C350" s="3" t="s">
        <v>3</v>
      </c>
      <c r="D350" s="3" t="s">
        <v>48</v>
      </c>
      <c r="E350" s="3" t="s">
        <v>43</v>
      </c>
      <c r="F350" s="3" t="s">
        <v>44</v>
      </c>
      <c r="G350" s="3" t="s">
        <v>45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533</v>
      </c>
      <c r="B351" s="3" t="s">
        <v>421</v>
      </c>
      <c r="C351" s="3" t="s">
        <v>3</v>
      </c>
      <c r="D351" s="3" t="s">
        <v>53</v>
      </c>
      <c r="E351" s="3" t="s">
        <v>37</v>
      </c>
      <c r="F351" s="3" t="s">
        <v>68</v>
      </c>
      <c r="G351" s="3" t="s">
        <v>39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534</v>
      </c>
      <c r="B352" s="3" t="s">
        <v>148</v>
      </c>
      <c r="C352" s="3" t="s">
        <v>3</v>
      </c>
      <c r="D352" s="3" t="s">
        <v>42</v>
      </c>
      <c r="E352" s="3" t="s">
        <v>56</v>
      </c>
      <c r="F352" s="3" t="s">
        <v>65</v>
      </c>
      <c r="G352" s="3" t="s">
        <v>39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535</v>
      </c>
      <c r="B353" s="3" t="s">
        <v>340</v>
      </c>
      <c r="C353" s="3" t="s">
        <v>3</v>
      </c>
      <c r="D353" s="3" t="s">
        <v>53</v>
      </c>
      <c r="E353" s="3" t="s">
        <v>37</v>
      </c>
      <c r="F353" s="3" t="s">
        <v>44</v>
      </c>
      <c r="G353" s="3" t="s">
        <v>45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536</v>
      </c>
      <c r="B354" s="3" t="s">
        <v>186</v>
      </c>
      <c r="C354" s="3" t="s">
        <v>3</v>
      </c>
      <c r="D354" s="3" t="s">
        <v>36</v>
      </c>
      <c r="E354" s="3" t="s">
        <v>43</v>
      </c>
      <c r="F354" s="3" t="s">
        <v>44</v>
      </c>
      <c r="G354" s="3" t="s">
        <v>45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537</v>
      </c>
      <c r="B355" s="3" t="s">
        <v>373</v>
      </c>
      <c r="C355" s="3" t="s">
        <v>3</v>
      </c>
      <c r="D355" s="3" t="s">
        <v>48</v>
      </c>
      <c r="E355" s="3" t="s">
        <v>56</v>
      </c>
      <c r="F355" s="3" t="s">
        <v>68</v>
      </c>
      <c r="G355" s="3" t="s">
        <v>45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538</v>
      </c>
      <c r="B356" s="3" t="s">
        <v>135</v>
      </c>
      <c r="C356" s="3" t="s">
        <v>3</v>
      </c>
      <c r="D356" s="3" t="s">
        <v>48</v>
      </c>
      <c r="E356" s="3" t="s">
        <v>43</v>
      </c>
      <c r="F356" s="3" t="s">
        <v>38</v>
      </c>
      <c r="G356" s="3" t="s">
        <v>45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539</v>
      </c>
      <c r="B357" s="3" t="s">
        <v>99</v>
      </c>
      <c r="C357" s="3" t="s">
        <v>3</v>
      </c>
      <c r="D357" s="3" t="s">
        <v>42</v>
      </c>
      <c r="E357" s="3" t="s">
        <v>43</v>
      </c>
      <c r="F357" s="3" t="s">
        <v>68</v>
      </c>
      <c r="G357" s="3" t="s">
        <v>45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540</v>
      </c>
      <c r="B358" s="3" t="s">
        <v>474</v>
      </c>
      <c r="C358" s="3" t="s">
        <v>3</v>
      </c>
      <c r="D358" s="3" t="s">
        <v>42</v>
      </c>
      <c r="E358" s="3" t="s">
        <v>43</v>
      </c>
      <c r="F358" s="3" t="s">
        <v>44</v>
      </c>
      <c r="G358" s="3" t="s">
        <v>39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541</v>
      </c>
      <c r="B359" s="3" t="s">
        <v>173</v>
      </c>
      <c r="C359" s="3" t="s">
        <v>3</v>
      </c>
      <c r="D359" s="3" t="s">
        <v>36</v>
      </c>
      <c r="E359" s="3" t="s">
        <v>56</v>
      </c>
      <c r="F359" s="3" t="s">
        <v>44</v>
      </c>
      <c r="G359" s="3" t="s">
        <v>45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542</v>
      </c>
      <c r="B360" s="3" t="s">
        <v>428</v>
      </c>
      <c r="C360" s="3" t="s">
        <v>3</v>
      </c>
      <c r="D360" s="3" t="s">
        <v>53</v>
      </c>
      <c r="E360" s="3" t="s">
        <v>43</v>
      </c>
      <c r="F360" s="3" t="s">
        <v>44</v>
      </c>
      <c r="G360" s="3" t="s">
        <v>39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543</v>
      </c>
      <c r="B361" s="3" t="s">
        <v>112</v>
      </c>
      <c r="C361" s="3" t="s">
        <v>3</v>
      </c>
      <c r="D361" s="3" t="s">
        <v>42</v>
      </c>
      <c r="E361" s="3" t="s">
        <v>43</v>
      </c>
      <c r="F361" s="3" t="s">
        <v>44</v>
      </c>
      <c r="G361" s="3" t="s">
        <v>45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544</v>
      </c>
      <c r="B362" s="3" t="s">
        <v>47</v>
      </c>
      <c r="C362" s="3" t="s">
        <v>3</v>
      </c>
      <c r="D362" s="3" t="s">
        <v>42</v>
      </c>
      <c r="E362" s="3" t="s">
        <v>37</v>
      </c>
      <c r="F362" s="3" t="s">
        <v>44</v>
      </c>
      <c r="G362" s="3" t="s">
        <v>45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545</v>
      </c>
      <c r="B363" s="3" t="s">
        <v>296</v>
      </c>
      <c r="C363" s="3" t="s">
        <v>3</v>
      </c>
      <c r="D363" s="3" t="s">
        <v>36</v>
      </c>
      <c r="E363" s="3" t="s">
        <v>43</v>
      </c>
      <c r="F363" s="3" t="s">
        <v>68</v>
      </c>
      <c r="G363" s="3" t="s">
        <v>50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546</v>
      </c>
      <c r="B364" s="3" t="s">
        <v>239</v>
      </c>
      <c r="C364" s="3" t="s">
        <v>3</v>
      </c>
      <c r="D364" s="3" t="s">
        <v>36</v>
      </c>
      <c r="E364" s="3" t="s">
        <v>43</v>
      </c>
      <c r="F364" s="3" t="s">
        <v>68</v>
      </c>
      <c r="G364" s="3" t="s">
        <v>39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547</v>
      </c>
      <c r="B365" s="3" t="s">
        <v>171</v>
      </c>
      <c r="C365" s="3" t="s">
        <v>3</v>
      </c>
      <c r="D365" s="3" t="s">
        <v>53</v>
      </c>
      <c r="E365" s="3" t="s">
        <v>43</v>
      </c>
      <c r="F365" s="3" t="s">
        <v>68</v>
      </c>
      <c r="G365" s="3" t="s">
        <v>39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548</v>
      </c>
      <c r="B366" s="3" t="s">
        <v>137</v>
      </c>
      <c r="C366" s="3" t="s">
        <v>3</v>
      </c>
      <c r="D366" s="3" t="s">
        <v>48</v>
      </c>
      <c r="E366" s="3" t="s">
        <v>37</v>
      </c>
      <c r="F366" s="3" t="s">
        <v>68</v>
      </c>
      <c r="G366" s="3" t="s">
        <v>45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549</v>
      </c>
      <c r="B367" s="3" t="s">
        <v>500</v>
      </c>
      <c r="C367" s="3" t="s">
        <v>3</v>
      </c>
      <c r="D367" s="3" t="s">
        <v>53</v>
      </c>
      <c r="E367" s="3" t="s">
        <v>43</v>
      </c>
      <c r="F367" s="3" t="s">
        <v>44</v>
      </c>
      <c r="G367" s="3" t="s">
        <v>45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550</v>
      </c>
      <c r="B368" s="3" t="s">
        <v>55</v>
      </c>
      <c r="C368" s="3" t="s">
        <v>3</v>
      </c>
      <c r="D368" s="3" t="s">
        <v>48</v>
      </c>
      <c r="E368" s="3" t="s">
        <v>43</v>
      </c>
      <c r="F368" s="3" t="s">
        <v>49</v>
      </c>
      <c r="G368" s="3" t="s">
        <v>45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551</v>
      </c>
      <c r="B369" s="3" t="s">
        <v>380</v>
      </c>
      <c r="C369" s="3" t="s">
        <v>3</v>
      </c>
      <c r="D369" s="3" t="s">
        <v>53</v>
      </c>
      <c r="E369" s="3" t="s">
        <v>56</v>
      </c>
      <c r="F369" s="3" t="s">
        <v>44</v>
      </c>
      <c r="G369" s="3" t="s">
        <v>45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552</v>
      </c>
      <c r="B370" s="3" t="s">
        <v>154</v>
      </c>
      <c r="C370" s="3" t="s">
        <v>3</v>
      </c>
      <c r="D370" s="3" t="s">
        <v>53</v>
      </c>
      <c r="E370" s="3" t="s">
        <v>43</v>
      </c>
      <c r="F370" s="3" t="s">
        <v>65</v>
      </c>
      <c r="G370" s="3" t="s">
        <v>45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553</v>
      </c>
      <c r="B371" s="3" t="s">
        <v>137</v>
      </c>
      <c r="C371" s="3" t="s">
        <v>3</v>
      </c>
      <c r="D371" s="3" t="s">
        <v>36</v>
      </c>
      <c r="E371" s="3" t="s">
        <v>43</v>
      </c>
      <c r="F371" s="3" t="s">
        <v>65</v>
      </c>
      <c r="G371" s="3" t="s">
        <v>50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554</v>
      </c>
      <c r="B372" s="3" t="s">
        <v>415</v>
      </c>
      <c r="C372" s="3" t="s">
        <v>3</v>
      </c>
      <c r="D372" s="3" t="s">
        <v>48</v>
      </c>
      <c r="E372" s="3" t="s">
        <v>43</v>
      </c>
      <c r="F372" s="3" t="s">
        <v>38</v>
      </c>
      <c r="G372" s="3" t="s">
        <v>45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555</v>
      </c>
      <c r="B373" s="3" t="s">
        <v>262</v>
      </c>
      <c r="C373" s="3" t="s">
        <v>3</v>
      </c>
      <c r="D373" s="3" t="s">
        <v>36</v>
      </c>
      <c r="E373" s="3" t="s">
        <v>37</v>
      </c>
      <c r="F373" s="3" t="s">
        <v>49</v>
      </c>
      <c r="G373" s="3" t="s">
        <v>50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556</v>
      </c>
      <c r="B374" s="3" t="s">
        <v>459</v>
      </c>
      <c r="C374" s="3" t="s">
        <v>3</v>
      </c>
      <c r="D374" s="3" t="s">
        <v>48</v>
      </c>
      <c r="E374" s="3" t="s">
        <v>37</v>
      </c>
      <c r="F374" s="3" t="s">
        <v>68</v>
      </c>
      <c r="G374" s="3" t="s">
        <v>45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557</v>
      </c>
      <c r="B375" s="3" t="s">
        <v>173</v>
      </c>
      <c r="C375" s="3" t="s">
        <v>3</v>
      </c>
      <c r="D375" s="3" t="s">
        <v>36</v>
      </c>
      <c r="E375" s="3" t="s">
        <v>43</v>
      </c>
      <c r="F375" s="3" t="s">
        <v>65</v>
      </c>
      <c r="G375" s="3" t="s">
        <v>45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558</v>
      </c>
      <c r="B376" s="3" t="s">
        <v>459</v>
      </c>
      <c r="C376" s="3" t="s">
        <v>3</v>
      </c>
      <c r="D376" s="3" t="s">
        <v>53</v>
      </c>
      <c r="E376" s="3" t="s">
        <v>37</v>
      </c>
      <c r="F376" s="3" t="s">
        <v>68</v>
      </c>
      <c r="G376" s="3" t="s">
        <v>39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559</v>
      </c>
      <c r="B377" s="3" t="s">
        <v>415</v>
      </c>
      <c r="C377" s="3" t="s">
        <v>3</v>
      </c>
      <c r="D377" s="3" t="s">
        <v>42</v>
      </c>
      <c r="E377" s="3" t="s">
        <v>43</v>
      </c>
      <c r="F377" s="3" t="s">
        <v>44</v>
      </c>
      <c r="G377" s="3" t="s">
        <v>45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560</v>
      </c>
      <c r="B378" s="3" t="s">
        <v>322</v>
      </c>
      <c r="C378" s="3" t="s">
        <v>3</v>
      </c>
      <c r="D378" s="3" t="s">
        <v>36</v>
      </c>
      <c r="E378" s="3" t="s">
        <v>43</v>
      </c>
      <c r="F378" s="3" t="s">
        <v>49</v>
      </c>
      <c r="G378" s="3" t="s">
        <v>45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561</v>
      </c>
      <c r="B379" s="3" t="s">
        <v>464</v>
      </c>
      <c r="C379" s="3" t="s">
        <v>3</v>
      </c>
      <c r="D379" s="3" t="s">
        <v>48</v>
      </c>
      <c r="E379" s="3" t="s">
        <v>43</v>
      </c>
      <c r="F379" s="3" t="s">
        <v>65</v>
      </c>
      <c r="G379" s="3" t="s">
        <v>39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562</v>
      </c>
      <c r="B380" s="3" t="s">
        <v>563</v>
      </c>
      <c r="C380" s="3" t="s">
        <v>3</v>
      </c>
      <c r="D380" s="3" t="s">
        <v>42</v>
      </c>
      <c r="E380" s="3" t="s">
        <v>56</v>
      </c>
      <c r="F380" s="3" t="s">
        <v>49</v>
      </c>
      <c r="G380" s="3" t="s">
        <v>39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564</v>
      </c>
      <c r="B381" s="3" t="s">
        <v>530</v>
      </c>
      <c r="C381" s="3" t="s">
        <v>3</v>
      </c>
      <c r="D381" s="3" t="s">
        <v>53</v>
      </c>
      <c r="E381" s="3" t="s">
        <v>37</v>
      </c>
      <c r="F381" s="3" t="s">
        <v>49</v>
      </c>
      <c r="G381" s="3" t="s">
        <v>39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565</v>
      </c>
      <c r="B382" s="3" t="s">
        <v>322</v>
      </c>
      <c r="C382" s="3" t="s">
        <v>3</v>
      </c>
      <c r="D382" s="3" t="s">
        <v>42</v>
      </c>
      <c r="E382" s="3" t="s">
        <v>43</v>
      </c>
      <c r="F382" s="3" t="s">
        <v>68</v>
      </c>
      <c r="G382" s="3" t="s">
        <v>45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566</v>
      </c>
      <c r="B383" s="3" t="s">
        <v>425</v>
      </c>
      <c r="C383" s="3" t="s">
        <v>3</v>
      </c>
      <c r="D383" s="3" t="s">
        <v>53</v>
      </c>
      <c r="E383" s="3" t="s">
        <v>43</v>
      </c>
      <c r="F383" s="3" t="s">
        <v>65</v>
      </c>
      <c r="G383" s="3" t="s">
        <v>50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567</v>
      </c>
      <c r="B384" s="3" t="s">
        <v>70</v>
      </c>
      <c r="C384" s="3" t="s">
        <v>3</v>
      </c>
      <c r="D384" s="3" t="s">
        <v>48</v>
      </c>
      <c r="E384" s="3" t="s">
        <v>43</v>
      </c>
      <c r="F384" s="3" t="s">
        <v>44</v>
      </c>
      <c r="G384" s="3" t="s">
        <v>45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568</v>
      </c>
      <c r="B385" s="3" t="s">
        <v>166</v>
      </c>
      <c r="C385" s="3" t="s">
        <v>3</v>
      </c>
      <c r="D385" s="3" t="s">
        <v>42</v>
      </c>
      <c r="E385" s="3" t="s">
        <v>43</v>
      </c>
      <c r="F385" s="3" t="s">
        <v>68</v>
      </c>
      <c r="G385" s="3" t="s">
        <v>39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569</v>
      </c>
      <c r="B386" s="3" t="s">
        <v>446</v>
      </c>
      <c r="C386" s="3" t="s">
        <v>3</v>
      </c>
      <c r="D386" s="3" t="s">
        <v>53</v>
      </c>
      <c r="E386" s="3" t="s">
        <v>43</v>
      </c>
      <c r="F386" s="3" t="s">
        <v>44</v>
      </c>
      <c r="G386" s="3" t="s">
        <v>39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570</v>
      </c>
      <c r="B387" s="3" t="s">
        <v>361</v>
      </c>
      <c r="C387" s="3" t="s">
        <v>3</v>
      </c>
      <c r="D387" s="3" t="s">
        <v>48</v>
      </c>
      <c r="E387" s="3" t="s">
        <v>43</v>
      </c>
      <c r="F387" s="3" t="s">
        <v>44</v>
      </c>
      <c r="G387" s="3" t="s">
        <v>45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571</v>
      </c>
      <c r="B388" s="3" t="s">
        <v>345</v>
      </c>
      <c r="C388" s="3" t="s">
        <v>3</v>
      </c>
      <c r="D388" s="3" t="s">
        <v>48</v>
      </c>
      <c r="E388" s="3" t="s">
        <v>43</v>
      </c>
      <c r="F388" s="3" t="s">
        <v>49</v>
      </c>
      <c r="G388" s="3" t="s">
        <v>45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572</v>
      </c>
      <c r="B389" s="3" t="s">
        <v>77</v>
      </c>
      <c r="C389" s="3" t="s">
        <v>3</v>
      </c>
      <c r="D389" s="3" t="s">
        <v>42</v>
      </c>
      <c r="E389" s="3" t="s">
        <v>37</v>
      </c>
      <c r="F389" s="3" t="s">
        <v>44</v>
      </c>
      <c r="G389" s="3" t="s">
        <v>50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573</v>
      </c>
      <c r="B390" s="3" t="s">
        <v>459</v>
      </c>
      <c r="C390" s="3" t="s">
        <v>3</v>
      </c>
      <c r="D390" s="3" t="s">
        <v>53</v>
      </c>
      <c r="E390" s="3" t="s">
        <v>43</v>
      </c>
      <c r="F390" s="3" t="s">
        <v>44</v>
      </c>
      <c r="G390" s="3" t="s">
        <v>50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574</v>
      </c>
      <c r="B391" s="3" t="s">
        <v>530</v>
      </c>
      <c r="C391" s="3" t="s">
        <v>3</v>
      </c>
      <c r="D391" s="3" t="s">
        <v>53</v>
      </c>
      <c r="E391" s="3" t="s">
        <v>43</v>
      </c>
      <c r="F391" s="3" t="s">
        <v>49</v>
      </c>
      <c r="G391" s="3" t="s">
        <v>45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575</v>
      </c>
      <c r="B392" s="3" t="s">
        <v>101</v>
      </c>
      <c r="C392" s="3" t="s">
        <v>3</v>
      </c>
      <c r="D392" s="3" t="s">
        <v>48</v>
      </c>
      <c r="E392" s="3" t="s">
        <v>43</v>
      </c>
      <c r="F392" s="3" t="s">
        <v>44</v>
      </c>
      <c r="G392" s="3" t="s">
        <v>45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576</v>
      </c>
      <c r="B393" s="3" t="s">
        <v>178</v>
      </c>
      <c r="C393" s="3" t="s">
        <v>3</v>
      </c>
      <c r="D393" s="3" t="s">
        <v>53</v>
      </c>
      <c r="E393" s="3" t="s">
        <v>37</v>
      </c>
      <c r="F393" s="3" t="s">
        <v>44</v>
      </c>
      <c r="G393" s="3" t="s">
        <v>45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577</v>
      </c>
      <c r="B394" s="3" t="s">
        <v>578</v>
      </c>
      <c r="C394" s="3" t="s">
        <v>3</v>
      </c>
      <c r="D394" s="3" t="s">
        <v>36</v>
      </c>
      <c r="E394" s="3" t="s">
        <v>43</v>
      </c>
      <c r="F394" s="3" t="s">
        <v>65</v>
      </c>
      <c r="G394" s="3" t="s">
        <v>45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579</v>
      </c>
      <c r="B395" s="3" t="s">
        <v>135</v>
      </c>
      <c r="C395" s="3" t="s">
        <v>3</v>
      </c>
      <c r="D395" s="3" t="s">
        <v>42</v>
      </c>
      <c r="E395" s="3" t="s">
        <v>37</v>
      </c>
      <c r="F395" s="3" t="s">
        <v>44</v>
      </c>
      <c r="G395" s="3" t="s">
        <v>39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580</v>
      </c>
      <c r="B396" s="3" t="s">
        <v>262</v>
      </c>
      <c r="C396" s="3" t="s">
        <v>3</v>
      </c>
      <c r="D396" s="3" t="s">
        <v>36</v>
      </c>
      <c r="E396" s="3" t="s">
        <v>43</v>
      </c>
      <c r="F396" s="3" t="s">
        <v>49</v>
      </c>
      <c r="G396" s="3" t="s">
        <v>45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581</v>
      </c>
      <c r="B397" s="3" t="s">
        <v>70</v>
      </c>
      <c r="C397" s="3" t="s">
        <v>3</v>
      </c>
      <c r="D397" s="3" t="s">
        <v>53</v>
      </c>
      <c r="E397" s="3" t="s">
        <v>37</v>
      </c>
      <c r="F397" s="3" t="s">
        <v>38</v>
      </c>
      <c r="G397" s="3" t="s">
        <v>39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582</v>
      </c>
      <c r="B398" s="3" t="s">
        <v>184</v>
      </c>
      <c r="C398" s="3" t="s">
        <v>3</v>
      </c>
      <c r="D398" s="3" t="s">
        <v>53</v>
      </c>
      <c r="E398" s="3" t="s">
        <v>37</v>
      </c>
      <c r="F398" s="3" t="s">
        <v>44</v>
      </c>
      <c r="G398" s="3" t="s">
        <v>45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583</v>
      </c>
      <c r="B399" s="3" t="s">
        <v>205</v>
      </c>
      <c r="C399" s="3" t="s">
        <v>3</v>
      </c>
      <c r="D399" s="3" t="s">
        <v>53</v>
      </c>
      <c r="E399" s="3" t="s">
        <v>43</v>
      </c>
      <c r="F399" s="3" t="s">
        <v>44</v>
      </c>
      <c r="G399" s="3" t="s">
        <v>45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584</v>
      </c>
      <c r="B400" s="3" t="s">
        <v>334</v>
      </c>
      <c r="C400" s="3" t="s">
        <v>3</v>
      </c>
      <c r="D400" s="3" t="s">
        <v>36</v>
      </c>
      <c r="E400" s="3" t="s">
        <v>37</v>
      </c>
      <c r="F400" s="3" t="s">
        <v>49</v>
      </c>
      <c r="G400" s="3" t="s">
        <v>45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585</v>
      </c>
      <c r="B401" s="3" t="s">
        <v>452</v>
      </c>
      <c r="C401" s="3" t="s">
        <v>3</v>
      </c>
      <c r="D401" s="3" t="s">
        <v>36</v>
      </c>
      <c r="E401" s="3" t="s">
        <v>43</v>
      </c>
      <c r="F401" s="3" t="s">
        <v>44</v>
      </c>
      <c r="G401" s="3" t="s">
        <v>45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586</v>
      </c>
      <c r="B402" s="3" t="s">
        <v>108</v>
      </c>
      <c r="C402" s="3" t="s">
        <v>3</v>
      </c>
      <c r="D402" s="3" t="s">
        <v>42</v>
      </c>
      <c r="E402" s="3" t="s">
        <v>43</v>
      </c>
      <c r="F402" s="3" t="s">
        <v>49</v>
      </c>
      <c r="G402" s="3" t="s">
        <v>45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587</v>
      </c>
      <c r="B403" s="3" t="s">
        <v>202</v>
      </c>
      <c r="C403" s="3" t="s">
        <v>3</v>
      </c>
      <c r="D403" s="3" t="s">
        <v>36</v>
      </c>
      <c r="E403" s="3" t="s">
        <v>43</v>
      </c>
      <c r="F403" s="3" t="s">
        <v>68</v>
      </c>
      <c r="G403" s="3" t="s">
        <v>39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588</v>
      </c>
      <c r="B404" s="3" t="s">
        <v>464</v>
      </c>
      <c r="C404" s="3" t="s">
        <v>3</v>
      </c>
      <c r="D404" s="3" t="s">
        <v>42</v>
      </c>
      <c r="E404" s="3" t="s">
        <v>43</v>
      </c>
      <c r="F404" s="3" t="s">
        <v>38</v>
      </c>
      <c r="G404" s="3" t="s">
        <v>39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589</v>
      </c>
      <c r="B405" s="3" t="s">
        <v>104</v>
      </c>
      <c r="C405" s="3" t="s">
        <v>3</v>
      </c>
      <c r="D405" s="3" t="s">
        <v>36</v>
      </c>
      <c r="E405" s="3" t="s">
        <v>43</v>
      </c>
      <c r="F405" s="3" t="s">
        <v>38</v>
      </c>
      <c r="G405" s="3" t="s">
        <v>50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590</v>
      </c>
      <c r="B406" s="3" t="s">
        <v>254</v>
      </c>
      <c r="C406" s="3" t="s">
        <v>3</v>
      </c>
      <c r="D406" s="3" t="s">
        <v>42</v>
      </c>
      <c r="E406" s="3" t="s">
        <v>37</v>
      </c>
      <c r="F406" s="3" t="s">
        <v>65</v>
      </c>
      <c r="G406" s="3" t="s">
        <v>45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591</v>
      </c>
      <c r="B407" s="3" t="s">
        <v>202</v>
      </c>
      <c r="C407" s="3" t="s">
        <v>3</v>
      </c>
      <c r="D407" s="3" t="s">
        <v>48</v>
      </c>
      <c r="E407" s="3" t="s">
        <v>43</v>
      </c>
      <c r="F407" s="3" t="s">
        <v>44</v>
      </c>
      <c r="G407" s="3" t="s">
        <v>39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592</v>
      </c>
      <c r="B408" s="3" t="s">
        <v>450</v>
      </c>
      <c r="C408" s="3" t="s">
        <v>3</v>
      </c>
      <c r="D408" s="3" t="s">
        <v>42</v>
      </c>
      <c r="E408" s="3" t="s">
        <v>43</v>
      </c>
      <c r="F408" s="3" t="s">
        <v>44</v>
      </c>
      <c r="G408" s="3" t="s">
        <v>39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593</v>
      </c>
      <c r="B409" s="3" t="s">
        <v>594</v>
      </c>
      <c r="C409" s="3" t="s">
        <v>3</v>
      </c>
      <c r="D409" s="3" t="s">
        <v>53</v>
      </c>
      <c r="E409" s="3" t="s">
        <v>43</v>
      </c>
      <c r="F409" s="3" t="s">
        <v>44</v>
      </c>
      <c r="G409" s="3" t="s">
        <v>39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595</v>
      </c>
      <c r="B410" s="3" t="s">
        <v>596</v>
      </c>
      <c r="C410" s="3" t="s">
        <v>3</v>
      </c>
      <c r="D410" s="3" t="s">
        <v>36</v>
      </c>
      <c r="E410" s="3" t="s">
        <v>37</v>
      </c>
      <c r="F410" s="3" t="s">
        <v>44</v>
      </c>
      <c r="G410" s="3" t="s">
        <v>50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597</v>
      </c>
      <c r="B411" s="3" t="s">
        <v>259</v>
      </c>
      <c r="C411" s="3" t="s">
        <v>3</v>
      </c>
      <c r="D411" s="3" t="s">
        <v>42</v>
      </c>
      <c r="E411" s="3" t="s">
        <v>43</v>
      </c>
      <c r="F411" s="3" t="s">
        <v>38</v>
      </c>
      <c r="G411" s="3" t="s">
        <v>50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598</v>
      </c>
      <c r="B412" s="3" t="s">
        <v>166</v>
      </c>
      <c r="C412" s="3" t="s">
        <v>3</v>
      </c>
      <c r="D412" s="3" t="s">
        <v>36</v>
      </c>
      <c r="E412" s="3" t="s">
        <v>43</v>
      </c>
      <c r="F412" s="3" t="s">
        <v>65</v>
      </c>
      <c r="G412" s="3" t="s">
        <v>50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599</v>
      </c>
      <c r="B413" s="3" t="s">
        <v>399</v>
      </c>
      <c r="C413" s="3" t="s">
        <v>3</v>
      </c>
      <c r="D413" s="3" t="s">
        <v>42</v>
      </c>
      <c r="E413" s="3" t="s">
        <v>37</v>
      </c>
      <c r="F413" s="3" t="s">
        <v>44</v>
      </c>
      <c r="G413" s="3" t="s">
        <v>39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600</v>
      </c>
      <c r="B414" s="3" t="s">
        <v>87</v>
      </c>
      <c r="C414" s="3" t="s">
        <v>3</v>
      </c>
      <c r="D414" s="3" t="s">
        <v>36</v>
      </c>
      <c r="E414" s="3" t="s">
        <v>43</v>
      </c>
      <c r="F414" s="3" t="s">
        <v>65</v>
      </c>
      <c r="G414" s="3" t="s">
        <v>50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601</v>
      </c>
      <c r="B415" s="3" t="s">
        <v>137</v>
      </c>
      <c r="C415" s="3" t="s">
        <v>3</v>
      </c>
      <c r="D415" s="3" t="s">
        <v>48</v>
      </c>
      <c r="E415" s="3" t="s">
        <v>37</v>
      </c>
      <c r="F415" s="3" t="s">
        <v>44</v>
      </c>
      <c r="G415" s="3" t="s">
        <v>39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602</v>
      </c>
      <c r="B416" s="3" t="s">
        <v>173</v>
      </c>
      <c r="C416" s="3" t="s">
        <v>3</v>
      </c>
      <c r="D416" s="3" t="s">
        <v>53</v>
      </c>
      <c r="E416" s="3" t="s">
        <v>43</v>
      </c>
      <c r="F416" s="3" t="s">
        <v>38</v>
      </c>
      <c r="G416" s="3" t="s">
        <v>50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603</v>
      </c>
      <c r="B417" s="3" t="s">
        <v>239</v>
      </c>
      <c r="C417" s="3" t="s">
        <v>3</v>
      </c>
      <c r="D417" s="3" t="s">
        <v>48</v>
      </c>
      <c r="E417" s="3" t="s">
        <v>37</v>
      </c>
      <c r="F417" s="3" t="s">
        <v>49</v>
      </c>
      <c r="G417" s="3" t="s">
        <v>45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604</v>
      </c>
      <c r="B418" s="3" t="s">
        <v>237</v>
      </c>
      <c r="C418" s="3" t="s">
        <v>3</v>
      </c>
      <c r="D418" s="3" t="s">
        <v>48</v>
      </c>
      <c r="E418" s="3" t="s">
        <v>43</v>
      </c>
      <c r="F418" s="3" t="s">
        <v>44</v>
      </c>
      <c r="G418" s="3" t="s">
        <v>39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605</v>
      </c>
      <c r="B419" s="3" t="s">
        <v>166</v>
      </c>
      <c r="C419" s="3" t="s">
        <v>3</v>
      </c>
      <c r="D419" s="3" t="s">
        <v>36</v>
      </c>
      <c r="E419" s="3" t="s">
        <v>43</v>
      </c>
      <c r="F419" s="3" t="s">
        <v>65</v>
      </c>
      <c r="G419" s="3" t="s">
        <v>39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606</v>
      </c>
      <c r="B420" s="3" t="s">
        <v>121</v>
      </c>
      <c r="C420" s="3" t="s">
        <v>3</v>
      </c>
      <c r="D420" s="3" t="s">
        <v>36</v>
      </c>
      <c r="E420" s="3" t="s">
        <v>37</v>
      </c>
      <c r="F420" s="3" t="s">
        <v>44</v>
      </c>
      <c r="G420" s="3" t="s">
        <v>45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607</v>
      </c>
      <c r="B421" s="3" t="s">
        <v>171</v>
      </c>
      <c r="C421" s="3" t="s">
        <v>3</v>
      </c>
      <c r="D421" s="3" t="s">
        <v>36</v>
      </c>
      <c r="E421" s="3" t="s">
        <v>37</v>
      </c>
      <c r="F421" s="3" t="s">
        <v>44</v>
      </c>
      <c r="G421" s="3" t="s">
        <v>50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608</v>
      </c>
      <c r="B422" s="3" t="s">
        <v>563</v>
      </c>
      <c r="C422" s="3" t="s">
        <v>3</v>
      </c>
      <c r="D422" s="3" t="s">
        <v>53</v>
      </c>
      <c r="E422" s="3" t="s">
        <v>43</v>
      </c>
      <c r="F422" s="3" t="s">
        <v>38</v>
      </c>
      <c r="G422" s="3" t="s">
        <v>45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609</v>
      </c>
      <c r="B423" s="3" t="s">
        <v>146</v>
      </c>
      <c r="C423" s="3" t="s">
        <v>3</v>
      </c>
      <c r="D423" s="3" t="s">
        <v>48</v>
      </c>
      <c r="E423" s="3" t="s">
        <v>37</v>
      </c>
      <c r="F423" s="3" t="s">
        <v>68</v>
      </c>
      <c r="G423" s="3" t="s">
        <v>45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610</v>
      </c>
      <c r="B424" s="3" t="s">
        <v>77</v>
      </c>
      <c r="C424" s="3" t="s">
        <v>3</v>
      </c>
      <c r="D424" s="3" t="s">
        <v>53</v>
      </c>
      <c r="E424" s="3" t="s">
        <v>56</v>
      </c>
      <c r="F424" s="3" t="s">
        <v>44</v>
      </c>
      <c r="G424" s="3" t="s">
        <v>45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611</v>
      </c>
      <c r="B425" s="3" t="s">
        <v>101</v>
      </c>
      <c r="C425" s="3" t="s">
        <v>3</v>
      </c>
      <c r="D425" s="3" t="s">
        <v>42</v>
      </c>
      <c r="E425" s="3" t="s">
        <v>43</v>
      </c>
      <c r="F425" s="3" t="s">
        <v>65</v>
      </c>
      <c r="G425" s="3" t="s">
        <v>45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612</v>
      </c>
      <c r="B426" s="3" t="s">
        <v>237</v>
      </c>
      <c r="C426" s="3" t="s">
        <v>3</v>
      </c>
      <c r="D426" s="3" t="s">
        <v>42</v>
      </c>
      <c r="E426" s="3" t="s">
        <v>43</v>
      </c>
      <c r="F426" s="3" t="s">
        <v>68</v>
      </c>
      <c r="G426" s="3" t="s">
        <v>45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613</v>
      </c>
      <c r="B427" s="3" t="s">
        <v>55</v>
      </c>
      <c r="C427" s="3" t="s">
        <v>3</v>
      </c>
      <c r="D427" s="3" t="s">
        <v>36</v>
      </c>
      <c r="E427" s="3" t="s">
        <v>43</v>
      </c>
      <c r="F427" s="3" t="s">
        <v>49</v>
      </c>
      <c r="G427" s="3" t="s">
        <v>39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614</v>
      </c>
      <c r="B428" s="3" t="s">
        <v>55</v>
      </c>
      <c r="C428" s="3" t="s">
        <v>3</v>
      </c>
      <c r="D428" s="3" t="s">
        <v>48</v>
      </c>
      <c r="E428" s="3" t="s">
        <v>43</v>
      </c>
      <c r="F428" s="3" t="s">
        <v>44</v>
      </c>
      <c r="G428" s="3" t="s">
        <v>45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615</v>
      </c>
      <c r="B429" s="3" t="s">
        <v>81</v>
      </c>
      <c r="C429" s="3" t="s">
        <v>3</v>
      </c>
      <c r="D429" s="3" t="s">
        <v>36</v>
      </c>
      <c r="E429" s="3" t="s">
        <v>43</v>
      </c>
      <c r="F429" s="3" t="s">
        <v>38</v>
      </c>
      <c r="G429" s="3" t="s">
        <v>50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616</v>
      </c>
      <c r="B430" s="3" t="s">
        <v>373</v>
      </c>
      <c r="C430" s="3" t="s">
        <v>3</v>
      </c>
      <c r="D430" s="3" t="s">
        <v>53</v>
      </c>
      <c r="E430" s="3" t="s">
        <v>37</v>
      </c>
      <c r="F430" s="3" t="s">
        <v>44</v>
      </c>
      <c r="G430" s="3" t="s">
        <v>45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617</v>
      </c>
      <c r="B431" s="3" t="s">
        <v>239</v>
      </c>
      <c r="C431" s="3" t="s">
        <v>3</v>
      </c>
      <c r="D431" s="3" t="s">
        <v>42</v>
      </c>
      <c r="E431" s="3" t="s">
        <v>43</v>
      </c>
      <c r="F431" s="3" t="s">
        <v>68</v>
      </c>
      <c r="G431" s="3" t="s">
        <v>45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618</v>
      </c>
      <c r="B432" s="3" t="s">
        <v>83</v>
      </c>
      <c r="C432" s="3" t="s">
        <v>3</v>
      </c>
      <c r="D432" s="3" t="s">
        <v>42</v>
      </c>
      <c r="E432" s="3" t="s">
        <v>43</v>
      </c>
      <c r="F432" s="3" t="s">
        <v>68</v>
      </c>
      <c r="G432" s="3" t="s">
        <v>50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619</v>
      </c>
      <c r="B433" s="3" t="s">
        <v>459</v>
      </c>
      <c r="C433" s="3" t="s">
        <v>3</v>
      </c>
      <c r="D433" s="3" t="s">
        <v>53</v>
      </c>
      <c r="E433" s="3" t="s">
        <v>43</v>
      </c>
      <c r="F433" s="3" t="s">
        <v>44</v>
      </c>
      <c r="G433" s="3" t="s">
        <v>39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620</v>
      </c>
      <c r="B434" s="3" t="s">
        <v>266</v>
      </c>
      <c r="C434" s="3" t="s">
        <v>3</v>
      </c>
      <c r="D434" s="3" t="s">
        <v>36</v>
      </c>
      <c r="E434" s="3" t="s">
        <v>56</v>
      </c>
      <c r="F434" s="3" t="s">
        <v>38</v>
      </c>
      <c r="G434" s="3" t="s">
        <v>39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621</v>
      </c>
      <c r="B435" s="3" t="s">
        <v>516</v>
      </c>
      <c r="C435" s="3" t="s">
        <v>3</v>
      </c>
      <c r="D435" s="3" t="s">
        <v>53</v>
      </c>
      <c r="E435" s="3" t="s">
        <v>37</v>
      </c>
      <c r="F435" s="3" t="s">
        <v>68</v>
      </c>
      <c r="G435" s="3" t="s">
        <v>39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622</v>
      </c>
      <c r="B436" s="3" t="s">
        <v>623</v>
      </c>
      <c r="C436" s="3" t="s">
        <v>3</v>
      </c>
      <c r="D436" s="3" t="s">
        <v>36</v>
      </c>
      <c r="E436" s="3" t="s">
        <v>37</v>
      </c>
      <c r="F436" s="3" t="s">
        <v>44</v>
      </c>
      <c r="G436" s="3" t="s">
        <v>39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624</v>
      </c>
      <c r="B437" s="3" t="s">
        <v>222</v>
      </c>
      <c r="C437" s="3" t="s">
        <v>3</v>
      </c>
      <c r="D437" s="3" t="s">
        <v>36</v>
      </c>
      <c r="E437" s="3" t="s">
        <v>37</v>
      </c>
      <c r="F437" s="3" t="s">
        <v>44</v>
      </c>
      <c r="G437" s="3" t="s">
        <v>39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625</v>
      </c>
      <c r="B438" s="3" t="s">
        <v>141</v>
      </c>
      <c r="C438" s="3" t="s">
        <v>3</v>
      </c>
      <c r="D438" s="3" t="s">
        <v>42</v>
      </c>
      <c r="E438" s="3" t="s">
        <v>43</v>
      </c>
      <c r="F438" s="3" t="s">
        <v>44</v>
      </c>
      <c r="G438" s="3" t="s">
        <v>39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626</v>
      </c>
      <c r="B439" s="3" t="s">
        <v>425</v>
      </c>
      <c r="C439" s="3" t="s">
        <v>3</v>
      </c>
      <c r="D439" s="3" t="s">
        <v>48</v>
      </c>
      <c r="E439" s="3" t="s">
        <v>43</v>
      </c>
      <c r="F439" s="3" t="s">
        <v>49</v>
      </c>
      <c r="G439" s="3" t="s">
        <v>39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627</v>
      </c>
      <c r="B440" s="3" t="s">
        <v>361</v>
      </c>
      <c r="C440" s="3" t="s">
        <v>3</v>
      </c>
      <c r="D440" s="3" t="s">
        <v>42</v>
      </c>
      <c r="E440" s="3" t="s">
        <v>37</v>
      </c>
      <c r="F440" s="3" t="s">
        <v>38</v>
      </c>
      <c r="G440" s="3" t="s">
        <v>39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628</v>
      </c>
      <c r="B441" s="3" t="s">
        <v>95</v>
      </c>
      <c r="C441" s="3" t="s">
        <v>3</v>
      </c>
      <c r="D441" s="3" t="s">
        <v>48</v>
      </c>
      <c r="E441" s="3" t="s">
        <v>43</v>
      </c>
      <c r="F441" s="3" t="s">
        <v>68</v>
      </c>
      <c r="G441" s="3" t="s">
        <v>50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629</v>
      </c>
      <c r="B442" s="3" t="s">
        <v>202</v>
      </c>
      <c r="C442" s="3" t="s">
        <v>3</v>
      </c>
      <c r="D442" s="3" t="s">
        <v>36</v>
      </c>
      <c r="E442" s="3" t="s">
        <v>43</v>
      </c>
      <c r="F442" s="3" t="s">
        <v>49</v>
      </c>
      <c r="G442" s="3" t="s">
        <v>39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630</v>
      </c>
      <c r="B443" s="3" t="s">
        <v>631</v>
      </c>
      <c r="C443" s="3" t="s">
        <v>3</v>
      </c>
      <c r="D443" s="3" t="s">
        <v>48</v>
      </c>
      <c r="E443" s="3" t="s">
        <v>43</v>
      </c>
      <c r="F443" s="3" t="s">
        <v>49</v>
      </c>
      <c r="G443" s="3" t="s">
        <v>39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632</v>
      </c>
      <c r="B444" s="3" t="s">
        <v>205</v>
      </c>
      <c r="C444" s="3" t="s">
        <v>3</v>
      </c>
      <c r="D444" s="3" t="s">
        <v>53</v>
      </c>
      <c r="E444" s="3" t="s">
        <v>43</v>
      </c>
      <c r="F444" s="3" t="s">
        <v>68</v>
      </c>
      <c r="G444" s="3" t="s">
        <v>45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633</v>
      </c>
      <c r="B445" s="3" t="s">
        <v>373</v>
      </c>
      <c r="C445" s="3" t="s">
        <v>3</v>
      </c>
      <c r="D445" s="3" t="s">
        <v>42</v>
      </c>
      <c r="E445" s="3" t="s">
        <v>37</v>
      </c>
      <c r="F445" s="3" t="s">
        <v>65</v>
      </c>
      <c r="G445" s="3" t="s">
        <v>45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634</v>
      </c>
      <c r="B446" s="3" t="s">
        <v>209</v>
      </c>
      <c r="C446" s="3" t="s">
        <v>3</v>
      </c>
      <c r="D446" s="3" t="s">
        <v>53</v>
      </c>
      <c r="E446" s="3" t="s">
        <v>43</v>
      </c>
      <c r="F446" s="3" t="s">
        <v>44</v>
      </c>
      <c r="G446" s="3" t="s">
        <v>50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635</v>
      </c>
      <c r="B447" s="3" t="s">
        <v>319</v>
      </c>
      <c r="C447" s="3" t="s">
        <v>3</v>
      </c>
      <c r="D447" s="3" t="s">
        <v>36</v>
      </c>
      <c r="E447" s="3" t="s">
        <v>37</v>
      </c>
      <c r="F447" s="3" t="s">
        <v>65</v>
      </c>
      <c r="G447" s="3" t="s">
        <v>45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636</v>
      </c>
      <c r="B448" s="3" t="s">
        <v>340</v>
      </c>
      <c r="C448" s="3" t="s">
        <v>3</v>
      </c>
      <c r="D448" s="3" t="s">
        <v>48</v>
      </c>
      <c r="E448" s="3" t="s">
        <v>43</v>
      </c>
      <c r="F448" s="3" t="s">
        <v>65</v>
      </c>
      <c r="G448" s="3" t="s">
        <v>39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637</v>
      </c>
      <c r="B449" s="3" t="s">
        <v>212</v>
      </c>
      <c r="C449" s="3" t="s">
        <v>3</v>
      </c>
      <c r="D449" s="3" t="s">
        <v>48</v>
      </c>
      <c r="E449" s="3" t="s">
        <v>43</v>
      </c>
      <c r="F449" s="3" t="s">
        <v>44</v>
      </c>
      <c r="G449" s="3" t="s">
        <v>45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638</v>
      </c>
      <c r="B450" s="3" t="s">
        <v>112</v>
      </c>
      <c r="C450" s="3" t="s">
        <v>3</v>
      </c>
      <c r="D450" s="3" t="s">
        <v>42</v>
      </c>
      <c r="E450" s="3" t="s">
        <v>43</v>
      </c>
      <c r="F450" s="3" t="s">
        <v>44</v>
      </c>
      <c r="G450" s="3" t="s">
        <v>45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639</v>
      </c>
      <c r="B451" s="3" t="s">
        <v>354</v>
      </c>
      <c r="C451" s="3" t="s">
        <v>3</v>
      </c>
      <c r="D451" s="3" t="s">
        <v>48</v>
      </c>
      <c r="E451" s="3" t="s">
        <v>43</v>
      </c>
      <c r="F451" s="3" t="s">
        <v>49</v>
      </c>
      <c r="G451" s="3" t="s">
        <v>45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640</v>
      </c>
      <c r="B452" s="3" t="s">
        <v>386</v>
      </c>
      <c r="C452" s="3" t="s">
        <v>3</v>
      </c>
      <c r="D452" s="3" t="s">
        <v>36</v>
      </c>
      <c r="E452" s="3" t="s">
        <v>56</v>
      </c>
      <c r="F452" s="3" t="s">
        <v>68</v>
      </c>
      <c r="G452" s="3" t="s">
        <v>45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641</v>
      </c>
      <c r="B453" s="3" t="s">
        <v>91</v>
      </c>
      <c r="C453" s="3" t="s">
        <v>3</v>
      </c>
      <c r="D453" s="3" t="s">
        <v>36</v>
      </c>
      <c r="E453" s="3" t="s">
        <v>37</v>
      </c>
      <c r="F453" s="3" t="s">
        <v>49</v>
      </c>
      <c r="G453" s="3" t="s">
        <v>45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642</v>
      </c>
      <c r="B454" s="3" t="s">
        <v>433</v>
      </c>
      <c r="C454" s="3" t="s">
        <v>3</v>
      </c>
      <c r="D454" s="3" t="s">
        <v>48</v>
      </c>
      <c r="E454" s="3" t="s">
        <v>43</v>
      </c>
      <c r="F454" s="3" t="s">
        <v>49</v>
      </c>
      <c r="G454" s="3" t="s">
        <v>50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643</v>
      </c>
      <c r="B455" s="3" t="s">
        <v>428</v>
      </c>
      <c r="C455" s="3" t="s">
        <v>3</v>
      </c>
      <c r="D455" s="3" t="s">
        <v>36</v>
      </c>
      <c r="E455" s="3" t="s">
        <v>43</v>
      </c>
      <c r="F455" s="3" t="s">
        <v>68</v>
      </c>
      <c r="G455" s="3" t="s">
        <v>45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644</v>
      </c>
      <c r="B456" s="3" t="s">
        <v>380</v>
      </c>
      <c r="C456" s="3" t="s">
        <v>3</v>
      </c>
      <c r="D456" s="3" t="s">
        <v>53</v>
      </c>
      <c r="E456" s="3" t="s">
        <v>56</v>
      </c>
      <c r="F456" s="3"/>
      <c r="G456" s="3" t="s">
        <v>45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645</v>
      </c>
      <c r="B457" s="3" t="s">
        <v>307</v>
      </c>
      <c r="C457" s="3" t="s">
        <v>3</v>
      </c>
      <c r="D457" s="3" t="s">
        <v>48</v>
      </c>
      <c r="E457" s="3" t="s">
        <v>37</v>
      </c>
      <c r="F457" s="3" t="s">
        <v>44</v>
      </c>
      <c r="G457" s="3" t="s">
        <v>45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646</v>
      </c>
      <c r="B458" s="3" t="s">
        <v>144</v>
      </c>
      <c r="C458" s="3" t="s">
        <v>3</v>
      </c>
      <c r="D458" s="3" t="s">
        <v>36</v>
      </c>
      <c r="E458" s="3" t="s">
        <v>43</v>
      </c>
      <c r="F458" s="3" t="s">
        <v>38</v>
      </c>
      <c r="G458" s="3" t="s">
        <v>39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647</v>
      </c>
      <c r="B459" s="3" t="s">
        <v>281</v>
      </c>
      <c r="C459" s="3" t="s">
        <v>3</v>
      </c>
      <c r="D459" s="3" t="s">
        <v>42</v>
      </c>
      <c r="E459" s="3" t="s">
        <v>37</v>
      </c>
      <c r="F459" s="3" t="s">
        <v>44</v>
      </c>
      <c r="G459" s="3" t="s">
        <v>50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648</v>
      </c>
      <c r="B460" s="3" t="s">
        <v>649</v>
      </c>
      <c r="C460" s="3" t="s">
        <v>3</v>
      </c>
      <c r="D460" s="3" t="s">
        <v>53</v>
      </c>
      <c r="E460" s="3" t="s">
        <v>43</v>
      </c>
      <c r="F460" s="3" t="s">
        <v>44</v>
      </c>
      <c r="G460" s="3" t="s">
        <v>50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650</v>
      </c>
      <c r="B461" s="3" t="s">
        <v>334</v>
      </c>
      <c r="C461" s="3" t="s">
        <v>3</v>
      </c>
      <c r="D461" s="3" t="s">
        <v>53</v>
      </c>
      <c r="E461" s="3" t="s">
        <v>43</v>
      </c>
      <c r="F461" s="3" t="s">
        <v>49</v>
      </c>
      <c r="G461" s="3" t="s">
        <v>45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651</v>
      </c>
      <c r="B462" s="3" t="s">
        <v>652</v>
      </c>
      <c r="C462" s="3" t="s">
        <v>3</v>
      </c>
      <c r="D462" s="3" t="s">
        <v>42</v>
      </c>
      <c r="E462" s="3" t="s">
        <v>37</v>
      </c>
      <c r="F462" s="3" t="s">
        <v>44</v>
      </c>
      <c r="G462" s="3" t="s">
        <v>50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653</v>
      </c>
      <c r="B463" s="3" t="s">
        <v>106</v>
      </c>
      <c r="C463" s="3" t="s">
        <v>3</v>
      </c>
      <c r="D463" s="3" t="s">
        <v>36</v>
      </c>
      <c r="E463" s="3"/>
      <c r="F463" s="3" t="s">
        <v>44</v>
      </c>
      <c r="G463" s="3" t="s">
        <v>39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654</v>
      </c>
      <c r="B464" s="3" t="s">
        <v>64</v>
      </c>
      <c r="C464" s="3" t="s">
        <v>3</v>
      </c>
      <c r="D464" s="3" t="s">
        <v>36</v>
      </c>
      <c r="E464" s="3" t="s">
        <v>43</v>
      </c>
      <c r="F464" s="3" t="s">
        <v>65</v>
      </c>
      <c r="G464" s="3" t="s">
        <v>39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655</v>
      </c>
      <c r="B465" s="3" t="s">
        <v>190</v>
      </c>
      <c r="C465" s="3" t="s">
        <v>3</v>
      </c>
      <c r="D465" s="3" t="s">
        <v>42</v>
      </c>
      <c r="E465" s="3" t="s">
        <v>37</v>
      </c>
      <c r="F465" s="3" t="s">
        <v>44</v>
      </c>
      <c r="G465" s="3" t="s">
        <v>45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656</v>
      </c>
      <c r="B466" s="3" t="s">
        <v>373</v>
      </c>
      <c r="C466" s="3" t="s">
        <v>3</v>
      </c>
      <c r="D466" s="3" t="s">
        <v>36</v>
      </c>
      <c r="E466" s="3" t="s">
        <v>43</v>
      </c>
      <c r="F466" s="3"/>
      <c r="G466" s="3" t="s">
        <v>45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657</v>
      </c>
      <c r="B467" s="3" t="s">
        <v>137</v>
      </c>
      <c r="C467" s="3" t="s">
        <v>3</v>
      </c>
      <c r="D467" s="3" t="s">
        <v>42</v>
      </c>
      <c r="E467" s="3" t="s">
        <v>43</v>
      </c>
      <c r="F467" s="3" t="s">
        <v>38</v>
      </c>
      <c r="G467" s="3" t="s">
        <v>45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658</v>
      </c>
      <c r="B468" s="3" t="s">
        <v>101</v>
      </c>
      <c r="C468" s="3" t="s">
        <v>3</v>
      </c>
      <c r="D468" s="3" t="s">
        <v>42</v>
      </c>
      <c r="E468" s="3" t="s">
        <v>43</v>
      </c>
      <c r="F468" s="3" t="s">
        <v>44</v>
      </c>
      <c r="G468" s="3" t="s">
        <v>39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659</v>
      </c>
      <c r="B469" s="3" t="s">
        <v>192</v>
      </c>
      <c r="C469" s="3" t="s">
        <v>3</v>
      </c>
      <c r="D469" s="3" t="s">
        <v>48</v>
      </c>
      <c r="E469" s="3" t="s">
        <v>37</v>
      </c>
      <c r="F469" s="3" t="s">
        <v>38</v>
      </c>
      <c r="G469" s="3" t="s">
        <v>45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660</v>
      </c>
      <c r="B470" s="3" t="s">
        <v>77</v>
      </c>
      <c r="C470" s="3" t="s">
        <v>3</v>
      </c>
      <c r="D470" s="3" t="s">
        <v>36</v>
      </c>
      <c r="E470" s="3" t="s">
        <v>43</v>
      </c>
      <c r="F470" s="3" t="s">
        <v>44</v>
      </c>
      <c r="G470" s="3" t="s">
        <v>39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661</v>
      </c>
      <c r="B471" s="3" t="s">
        <v>662</v>
      </c>
      <c r="C471" s="3" t="s">
        <v>3</v>
      </c>
      <c r="D471" s="3" t="s">
        <v>42</v>
      </c>
      <c r="E471" s="3" t="s">
        <v>43</v>
      </c>
      <c r="F471" s="3" t="s">
        <v>49</v>
      </c>
      <c r="G471" s="3" t="s">
        <v>45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663</v>
      </c>
      <c r="B472" s="3" t="s">
        <v>184</v>
      </c>
      <c r="C472" s="3" t="s">
        <v>3</v>
      </c>
      <c r="D472" s="3" t="s">
        <v>48</v>
      </c>
      <c r="E472" s="3" t="s">
        <v>37</v>
      </c>
      <c r="F472" s="3" t="s">
        <v>44</v>
      </c>
      <c r="G472" s="3" t="s">
        <v>45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664</v>
      </c>
      <c r="B473" s="3" t="s">
        <v>166</v>
      </c>
      <c r="C473" s="3" t="s">
        <v>3</v>
      </c>
      <c r="D473" s="3" t="s">
        <v>42</v>
      </c>
      <c r="E473" s="3" t="s">
        <v>43</v>
      </c>
      <c r="F473" s="3" t="s">
        <v>44</v>
      </c>
      <c r="G473" s="3" t="s">
        <v>45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665</v>
      </c>
      <c r="B474" s="3" t="s">
        <v>209</v>
      </c>
      <c r="C474" s="3" t="s">
        <v>3</v>
      </c>
      <c r="D474" s="3" t="s">
        <v>53</v>
      </c>
      <c r="E474" s="3" t="s">
        <v>43</v>
      </c>
      <c r="F474" s="3" t="s">
        <v>68</v>
      </c>
      <c r="G474" s="3" t="s">
        <v>45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666</v>
      </c>
      <c r="B475" s="3" t="s">
        <v>41</v>
      </c>
      <c r="C475" s="3" t="s">
        <v>3</v>
      </c>
      <c r="D475" s="3" t="s">
        <v>48</v>
      </c>
      <c r="E475" s="3" t="s">
        <v>43</v>
      </c>
      <c r="F475" s="3" t="s">
        <v>44</v>
      </c>
      <c r="G475" s="3" t="s">
        <v>39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667</v>
      </c>
      <c r="B476" s="3" t="s">
        <v>127</v>
      </c>
      <c r="C476" s="3" t="s">
        <v>3</v>
      </c>
      <c r="D476" s="3" t="s">
        <v>53</v>
      </c>
      <c r="E476" s="3" t="s">
        <v>43</v>
      </c>
      <c r="F476" s="3" t="s">
        <v>65</v>
      </c>
      <c r="G476" s="3" t="s">
        <v>45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668</v>
      </c>
      <c r="B477" s="3" t="s">
        <v>62</v>
      </c>
      <c r="C477" s="3" t="s">
        <v>3</v>
      </c>
      <c r="D477" s="3" t="s">
        <v>42</v>
      </c>
      <c r="E477" s="3" t="s">
        <v>43</v>
      </c>
      <c r="F477" s="3" t="s">
        <v>65</v>
      </c>
      <c r="G477" s="3" t="s">
        <v>39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669</v>
      </c>
      <c r="B478" s="3" t="s">
        <v>205</v>
      </c>
      <c r="C478" s="3" t="s">
        <v>3</v>
      </c>
      <c r="D478" s="3" t="s">
        <v>53</v>
      </c>
      <c r="E478" s="3" t="s">
        <v>43</v>
      </c>
      <c r="F478" s="3" t="s">
        <v>65</v>
      </c>
      <c r="G478" s="3" t="s">
        <v>45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670</v>
      </c>
      <c r="B479" s="3" t="s">
        <v>268</v>
      </c>
      <c r="C479" s="3" t="s">
        <v>3</v>
      </c>
      <c r="D479" s="3" t="s">
        <v>53</v>
      </c>
      <c r="E479" s="3" t="s">
        <v>37</v>
      </c>
      <c r="F479" s="3" t="s">
        <v>68</v>
      </c>
      <c r="G479" s="3" t="s">
        <v>39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671</v>
      </c>
      <c r="B480" s="3" t="s">
        <v>248</v>
      </c>
      <c r="C480" s="3" t="s">
        <v>3</v>
      </c>
      <c r="D480" s="3" t="s">
        <v>53</v>
      </c>
      <c r="E480" s="3" t="s">
        <v>43</v>
      </c>
      <c r="F480" s="3" t="s">
        <v>44</v>
      </c>
      <c r="G480" s="3" t="s">
        <v>45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672</v>
      </c>
      <c r="B481" s="3" t="s">
        <v>239</v>
      </c>
      <c r="C481" s="3" t="s">
        <v>3</v>
      </c>
      <c r="D481" s="3" t="s">
        <v>42</v>
      </c>
      <c r="E481" s="3" t="s">
        <v>43</v>
      </c>
      <c r="F481" s="3" t="s">
        <v>49</v>
      </c>
      <c r="G481" s="3" t="s">
        <v>50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673</v>
      </c>
      <c r="B482" s="3" t="s">
        <v>662</v>
      </c>
      <c r="C482" s="3" t="s">
        <v>3</v>
      </c>
      <c r="D482" s="3" t="s">
        <v>42</v>
      </c>
      <c r="E482" s="3" t="s">
        <v>56</v>
      </c>
      <c r="F482" s="3" t="s">
        <v>65</v>
      </c>
      <c r="G482" s="3" t="s">
        <v>45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674</v>
      </c>
      <c r="B483" s="3" t="s">
        <v>101</v>
      </c>
      <c r="C483" s="3" t="s">
        <v>3</v>
      </c>
      <c r="D483" s="3" t="s">
        <v>36</v>
      </c>
      <c r="E483" s="3"/>
      <c r="F483" s="3" t="s">
        <v>44</v>
      </c>
      <c r="G483" s="3" t="s">
        <v>39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675</v>
      </c>
      <c r="B484" s="3" t="s">
        <v>373</v>
      </c>
      <c r="C484" s="3" t="s">
        <v>3</v>
      </c>
      <c r="D484" s="3" t="s">
        <v>42</v>
      </c>
      <c r="E484" s="3" t="s">
        <v>37</v>
      </c>
      <c r="F484" s="3" t="s">
        <v>44</v>
      </c>
      <c r="G484" s="3" t="s">
        <v>39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676</v>
      </c>
      <c r="B485" s="3" t="s">
        <v>121</v>
      </c>
      <c r="C485" s="3" t="s">
        <v>3</v>
      </c>
      <c r="D485" s="3" t="s">
        <v>36</v>
      </c>
      <c r="E485" s="3" t="s">
        <v>43</v>
      </c>
      <c r="F485" s="3" t="s">
        <v>38</v>
      </c>
      <c r="G485" s="3" t="s">
        <v>45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677</v>
      </c>
      <c r="B486" s="3" t="s">
        <v>334</v>
      </c>
      <c r="C486" s="3" t="s">
        <v>3</v>
      </c>
      <c r="D486" s="3" t="s">
        <v>36</v>
      </c>
      <c r="E486" s="3" t="s">
        <v>37</v>
      </c>
      <c r="F486" s="3" t="s">
        <v>68</v>
      </c>
      <c r="G486" s="3" t="s">
        <v>45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678</v>
      </c>
      <c r="B487" s="3" t="s">
        <v>73</v>
      </c>
      <c r="C487" s="3" t="s">
        <v>3</v>
      </c>
      <c r="D487" s="3" t="s">
        <v>42</v>
      </c>
      <c r="E487" s="3" t="s">
        <v>43</v>
      </c>
      <c r="F487" s="3" t="s">
        <v>44</v>
      </c>
      <c r="G487" s="3" t="s">
        <v>45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679</v>
      </c>
      <c r="B488" s="3" t="s">
        <v>87</v>
      </c>
      <c r="C488" s="3" t="s">
        <v>3</v>
      </c>
      <c r="D488" s="3" t="s">
        <v>36</v>
      </c>
      <c r="E488" s="3" t="s">
        <v>43</v>
      </c>
      <c r="F488" s="3" t="s">
        <v>44</v>
      </c>
      <c r="G488" s="3" t="s">
        <v>50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680</v>
      </c>
      <c r="B489" s="3" t="s">
        <v>248</v>
      </c>
      <c r="C489" s="3" t="s">
        <v>3</v>
      </c>
      <c r="D489" s="3" t="s">
        <v>53</v>
      </c>
      <c r="E489" s="3" t="s">
        <v>43</v>
      </c>
      <c r="F489" s="3" t="s">
        <v>65</v>
      </c>
      <c r="G489" s="3" t="s">
        <v>45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681</v>
      </c>
      <c r="B490" s="3" t="s">
        <v>229</v>
      </c>
      <c r="C490" s="3" t="s">
        <v>3</v>
      </c>
      <c r="D490" s="3" t="s">
        <v>53</v>
      </c>
      <c r="E490" s="3" t="s">
        <v>43</v>
      </c>
      <c r="F490" s="3" t="s">
        <v>49</v>
      </c>
      <c r="G490" s="3" t="s">
        <v>39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682</v>
      </c>
      <c r="B491" s="3" t="s">
        <v>446</v>
      </c>
      <c r="C491" s="3" t="s">
        <v>3</v>
      </c>
      <c r="D491" s="3" t="s">
        <v>53</v>
      </c>
      <c r="E491" s="3" t="s">
        <v>37</v>
      </c>
      <c r="F491" s="3" t="s">
        <v>65</v>
      </c>
      <c r="G491" s="3" t="s">
        <v>39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683</v>
      </c>
      <c r="B492" s="3" t="s">
        <v>530</v>
      </c>
      <c r="C492" s="3" t="s">
        <v>3</v>
      </c>
      <c r="D492" s="3" t="s">
        <v>53</v>
      </c>
      <c r="E492" s="3" t="s">
        <v>43</v>
      </c>
      <c r="F492" s="3" t="s">
        <v>68</v>
      </c>
      <c r="G492" s="3" t="s">
        <v>39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684</v>
      </c>
      <c r="B493" s="3" t="s">
        <v>171</v>
      </c>
      <c r="C493" s="3" t="s">
        <v>3</v>
      </c>
      <c r="D493" s="3" t="s">
        <v>53</v>
      </c>
      <c r="E493" s="3" t="s">
        <v>43</v>
      </c>
      <c r="F493" s="3" t="s">
        <v>49</v>
      </c>
      <c r="G493" s="3" t="s">
        <v>45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685</v>
      </c>
      <c r="B494" s="3" t="s">
        <v>354</v>
      </c>
      <c r="C494" s="3" t="s">
        <v>3</v>
      </c>
      <c r="D494" s="3" t="s">
        <v>53</v>
      </c>
      <c r="E494" s="3" t="s">
        <v>37</v>
      </c>
      <c r="F494" s="3" t="s">
        <v>38</v>
      </c>
      <c r="G494" s="3" t="s">
        <v>39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686</v>
      </c>
      <c r="B495" s="3" t="s">
        <v>386</v>
      </c>
      <c r="C495" s="3" t="s">
        <v>3</v>
      </c>
      <c r="D495" s="3" t="s">
        <v>36</v>
      </c>
      <c r="E495" s="3" t="s">
        <v>43</v>
      </c>
      <c r="F495" s="3" t="s">
        <v>44</v>
      </c>
      <c r="G495" s="3" t="s">
        <v>50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687</v>
      </c>
      <c r="B496" s="3" t="s">
        <v>184</v>
      </c>
      <c r="C496" s="3" t="s">
        <v>3</v>
      </c>
      <c r="D496" s="3" t="s">
        <v>53</v>
      </c>
      <c r="E496" s="3" t="s">
        <v>43</v>
      </c>
      <c r="F496" s="3" t="s">
        <v>65</v>
      </c>
      <c r="G496" s="3" t="s">
        <v>39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688</v>
      </c>
      <c r="B497" s="3" t="s">
        <v>87</v>
      </c>
      <c r="C497" s="3" t="s">
        <v>3</v>
      </c>
      <c r="D497" s="3" t="s">
        <v>53</v>
      </c>
      <c r="E497" s="3" t="s">
        <v>43</v>
      </c>
      <c r="F497" s="3" t="s">
        <v>38</v>
      </c>
      <c r="G497" s="3" t="s">
        <v>39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689</v>
      </c>
      <c r="B498" s="3" t="s">
        <v>199</v>
      </c>
      <c r="C498" s="3" t="s">
        <v>3</v>
      </c>
      <c r="D498" s="3" t="s">
        <v>48</v>
      </c>
      <c r="E498" s="3" t="s">
        <v>43</v>
      </c>
      <c r="F498" s="3" t="s">
        <v>38</v>
      </c>
      <c r="G498" s="3" t="s">
        <v>39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690</v>
      </c>
      <c r="B499" s="3" t="s">
        <v>75</v>
      </c>
      <c r="C499" s="3" t="s">
        <v>3</v>
      </c>
      <c r="D499" s="3" t="s">
        <v>53</v>
      </c>
      <c r="E499" s="3" t="s">
        <v>37</v>
      </c>
      <c r="F499" s="3" t="s">
        <v>44</v>
      </c>
      <c r="G499" s="3" t="s">
        <v>45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691</v>
      </c>
      <c r="B500" s="3" t="s">
        <v>154</v>
      </c>
      <c r="C500" s="3" t="s">
        <v>3</v>
      </c>
      <c r="D500" s="3" t="s">
        <v>53</v>
      </c>
      <c r="E500" s="3" t="s">
        <v>43</v>
      </c>
      <c r="F500" s="3" t="s">
        <v>68</v>
      </c>
      <c r="G500" s="3" t="s">
        <v>50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692</v>
      </c>
      <c r="B501" s="3" t="s">
        <v>85</v>
      </c>
      <c r="C501" s="3" t="s">
        <v>3</v>
      </c>
      <c r="D501" s="3" t="s">
        <v>48</v>
      </c>
      <c r="E501" s="3" t="s">
        <v>37</v>
      </c>
      <c r="F501" s="3" t="s">
        <v>49</v>
      </c>
      <c r="G501" s="3" t="s">
        <v>39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693</v>
      </c>
      <c r="B502" s="3" t="s">
        <v>101</v>
      </c>
      <c r="C502" s="3" t="s">
        <v>3</v>
      </c>
      <c r="D502" s="3" t="s">
        <v>42</v>
      </c>
      <c r="E502" s="3" t="s">
        <v>43</v>
      </c>
      <c r="F502" s="3" t="s">
        <v>68</v>
      </c>
      <c r="G502" s="3" t="s">
        <v>45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694</v>
      </c>
      <c r="B503" s="3" t="s">
        <v>273</v>
      </c>
      <c r="C503" s="3" t="s">
        <v>3</v>
      </c>
      <c r="D503" s="3" t="s">
        <v>36</v>
      </c>
      <c r="E503" s="3" t="s">
        <v>43</v>
      </c>
      <c r="F503" s="3" t="s">
        <v>38</v>
      </c>
      <c r="G503" s="3" t="s">
        <v>45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695</v>
      </c>
      <c r="B504" s="3" t="s">
        <v>108</v>
      </c>
      <c r="C504" s="3" t="s">
        <v>3</v>
      </c>
      <c r="D504" s="3" t="s">
        <v>53</v>
      </c>
      <c r="E504" s="3" t="s">
        <v>37</v>
      </c>
      <c r="F504" s="3" t="s">
        <v>68</v>
      </c>
      <c r="G504" s="3" t="s">
        <v>45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696</v>
      </c>
      <c r="B505" s="3" t="s">
        <v>121</v>
      </c>
      <c r="C505" s="3" t="s">
        <v>3</v>
      </c>
      <c r="D505" s="3" t="s">
        <v>36</v>
      </c>
      <c r="E505" s="3" t="s">
        <v>37</v>
      </c>
      <c r="F505" s="3" t="s">
        <v>44</v>
      </c>
      <c r="G505" s="3" t="s">
        <v>45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697</v>
      </c>
      <c r="B506" s="3" t="s">
        <v>315</v>
      </c>
      <c r="C506" s="3" t="s">
        <v>3</v>
      </c>
      <c r="D506" s="3" t="s">
        <v>36</v>
      </c>
      <c r="E506" s="3" t="s">
        <v>43</v>
      </c>
      <c r="F506" s="3" t="s">
        <v>65</v>
      </c>
      <c r="G506" s="3" t="s">
        <v>45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698</v>
      </c>
      <c r="B507" s="3" t="s">
        <v>239</v>
      </c>
      <c r="C507" s="3" t="s">
        <v>3</v>
      </c>
      <c r="D507" s="3" t="s">
        <v>36</v>
      </c>
      <c r="E507" s="3" t="s">
        <v>37</v>
      </c>
      <c r="F507" s="3" t="s">
        <v>68</v>
      </c>
      <c r="G507" s="3" t="s">
        <v>45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699</v>
      </c>
      <c r="B508" s="3" t="s">
        <v>119</v>
      </c>
      <c r="C508" s="3" t="s">
        <v>3</v>
      </c>
      <c r="D508" s="3" t="s">
        <v>53</v>
      </c>
      <c r="E508" s="3" t="s">
        <v>37</v>
      </c>
      <c r="F508" s="3" t="s">
        <v>44</v>
      </c>
      <c r="G508" s="3" t="s">
        <v>39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700</v>
      </c>
      <c r="B509" s="3" t="s">
        <v>104</v>
      </c>
      <c r="C509" s="3" t="s">
        <v>3</v>
      </c>
      <c r="D509" s="3" t="s">
        <v>42</v>
      </c>
      <c r="E509" s="3" t="s">
        <v>43</v>
      </c>
      <c r="F509" s="3" t="s">
        <v>49</v>
      </c>
      <c r="G509" s="3" t="s">
        <v>50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701</v>
      </c>
      <c r="B510" s="3" t="s">
        <v>239</v>
      </c>
      <c r="C510" s="3" t="s">
        <v>3</v>
      </c>
      <c r="D510" s="3" t="s">
        <v>36</v>
      </c>
      <c r="E510" s="3" t="s">
        <v>56</v>
      </c>
      <c r="F510" s="3" t="s">
        <v>44</v>
      </c>
      <c r="G510" s="3" t="s">
        <v>45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702</v>
      </c>
      <c r="B511" s="3" t="s">
        <v>259</v>
      </c>
      <c r="C511" s="3" t="s">
        <v>3</v>
      </c>
      <c r="D511" s="3" t="s">
        <v>53</v>
      </c>
      <c r="E511" s="3" t="s">
        <v>43</v>
      </c>
      <c r="F511" s="3" t="s">
        <v>44</v>
      </c>
      <c r="G511" s="3" t="s">
        <v>45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703</v>
      </c>
      <c r="B512" s="3" t="s">
        <v>219</v>
      </c>
      <c r="C512" s="3" t="s">
        <v>3</v>
      </c>
      <c r="D512" s="3" t="s">
        <v>36</v>
      </c>
      <c r="E512" s="3" t="s">
        <v>43</v>
      </c>
      <c r="F512" s="3" t="s">
        <v>68</v>
      </c>
      <c r="G512" s="3" t="s">
        <v>45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704</v>
      </c>
      <c r="B513" s="3" t="s">
        <v>563</v>
      </c>
      <c r="C513" s="3" t="s">
        <v>3</v>
      </c>
      <c r="D513" s="3" t="s">
        <v>53</v>
      </c>
      <c r="E513" s="3" t="s">
        <v>43</v>
      </c>
      <c r="F513" s="3" t="s">
        <v>44</v>
      </c>
      <c r="G513" s="3" t="s">
        <v>45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705</v>
      </c>
      <c r="B514" s="3" t="s">
        <v>101</v>
      </c>
      <c r="C514" s="3" t="s">
        <v>3</v>
      </c>
      <c r="D514" s="3" t="s">
        <v>53</v>
      </c>
      <c r="E514" s="3" t="s">
        <v>43</v>
      </c>
      <c r="F514" s="3"/>
      <c r="G514" s="3" t="s">
        <v>45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706</v>
      </c>
      <c r="B515" s="3" t="s">
        <v>116</v>
      </c>
      <c r="C515" s="3" t="s">
        <v>3</v>
      </c>
      <c r="D515" s="3" t="s">
        <v>53</v>
      </c>
      <c r="E515" s="3" t="s">
        <v>37</v>
      </c>
      <c r="F515" s="3" t="s">
        <v>44</v>
      </c>
      <c r="G515" s="3" t="s">
        <v>45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707</v>
      </c>
      <c r="B516" s="3" t="s">
        <v>144</v>
      </c>
      <c r="C516" s="3" t="s">
        <v>3</v>
      </c>
      <c r="D516" s="3" t="s">
        <v>36</v>
      </c>
      <c r="E516" s="3" t="s">
        <v>43</v>
      </c>
      <c r="F516" s="3" t="s">
        <v>49</v>
      </c>
      <c r="G516" s="3" t="s">
        <v>45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708</v>
      </c>
      <c r="B517" s="3" t="s">
        <v>95</v>
      </c>
      <c r="C517" s="3" t="s">
        <v>3</v>
      </c>
      <c r="D517" s="3" t="s">
        <v>36</v>
      </c>
      <c r="E517" s="3" t="s">
        <v>43</v>
      </c>
      <c r="F517" s="3" t="s">
        <v>44</v>
      </c>
      <c r="G517" s="3" t="s">
        <v>45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709</v>
      </c>
      <c r="B518" s="3" t="s">
        <v>162</v>
      </c>
      <c r="C518" s="3" t="s">
        <v>3</v>
      </c>
      <c r="D518" s="3" t="s">
        <v>48</v>
      </c>
      <c r="E518" s="3" t="s">
        <v>43</v>
      </c>
      <c r="F518" s="3" t="s">
        <v>65</v>
      </c>
      <c r="G518" s="3" t="s">
        <v>39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710</v>
      </c>
      <c r="B519" s="3" t="s">
        <v>52</v>
      </c>
      <c r="C519" s="3" t="s">
        <v>3</v>
      </c>
      <c r="D519" s="3" t="s">
        <v>53</v>
      </c>
      <c r="E519" s="3" t="s">
        <v>37</v>
      </c>
      <c r="F519" s="3" t="s">
        <v>68</v>
      </c>
      <c r="G519" s="3" t="s">
        <v>50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711</v>
      </c>
      <c r="B520" s="3" t="s">
        <v>662</v>
      </c>
      <c r="C520" s="3" t="s">
        <v>3</v>
      </c>
      <c r="D520" s="3" t="s">
        <v>48</v>
      </c>
      <c r="E520" s="3" t="s">
        <v>43</v>
      </c>
      <c r="F520" s="3" t="s">
        <v>49</v>
      </c>
      <c r="G520" s="3" t="s">
        <v>45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712</v>
      </c>
      <c r="B521" s="3" t="s">
        <v>135</v>
      </c>
      <c r="C521" s="3" t="s">
        <v>3</v>
      </c>
      <c r="D521" s="3" t="s">
        <v>42</v>
      </c>
      <c r="E521" s="3" t="s">
        <v>37</v>
      </c>
      <c r="F521" s="3" t="s">
        <v>65</v>
      </c>
      <c r="G521" s="3" t="s">
        <v>45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713</v>
      </c>
      <c r="B522" s="3" t="s">
        <v>182</v>
      </c>
      <c r="C522" s="3" t="s">
        <v>3</v>
      </c>
      <c r="D522" s="3" t="s">
        <v>42</v>
      </c>
      <c r="E522" s="3" t="s">
        <v>43</v>
      </c>
      <c r="F522" s="3" t="s">
        <v>44</v>
      </c>
      <c r="G522" s="3" t="s">
        <v>45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714</v>
      </c>
      <c r="B523" s="3" t="s">
        <v>359</v>
      </c>
      <c r="C523" s="3" t="s">
        <v>3</v>
      </c>
      <c r="D523" s="3" t="s">
        <v>48</v>
      </c>
      <c r="E523" s="3" t="s">
        <v>56</v>
      </c>
      <c r="F523" s="3" t="s">
        <v>49</v>
      </c>
      <c r="G523" s="3" t="s">
        <v>45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715</v>
      </c>
      <c r="B524" s="3" t="s">
        <v>89</v>
      </c>
      <c r="C524" s="3" t="s">
        <v>3</v>
      </c>
      <c r="D524" s="3" t="s">
        <v>53</v>
      </c>
      <c r="E524" s="3" t="s">
        <v>43</v>
      </c>
      <c r="F524" s="3" t="s">
        <v>44</v>
      </c>
      <c r="G524" s="3" t="s">
        <v>39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716</v>
      </c>
      <c r="B525" s="3" t="s">
        <v>500</v>
      </c>
      <c r="C525" s="3" t="s">
        <v>3</v>
      </c>
      <c r="D525" s="3" t="s">
        <v>53</v>
      </c>
      <c r="E525" s="3" t="s">
        <v>37</v>
      </c>
      <c r="F525" s="3" t="s">
        <v>38</v>
      </c>
      <c r="G525" s="3" t="s">
        <v>39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717</v>
      </c>
      <c r="B526" s="3" t="s">
        <v>319</v>
      </c>
      <c r="C526" s="3" t="s">
        <v>3</v>
      </c>
      <c r="D526" s="3" t="s">
        <v>36</v>
      </c>
      <c r="E526" s="3" t="s">
        <v>43</v>
      </c>
      <c r="F526" s="3" t="s">
        <v>44</v>
      </c>
      <c r="G526" s="3" t="s">
        <v>45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718</v>
      </c>
      <c r="B527" s="3" t="s">
        <v>156</v>
      </c>
      <c r="C527" s="3" t="s">
        <v>3</v>
      </c>
      <c r="D527" s="3" t="s">
        <v>42</v>
      </c>
      <c r="E527" s="3" t="s">
        <v>43</v>
      </c>
      <c r="F527" s="3" t="s">
        <v>49</v>
      </c>
      <c r="G527" s="3" t="s">
        <v>39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719</v>
      </c>
      <c r="B528" s="3" t="s">
        <v>594</v>
      </c>
      <c r="C528" s="3" t="s">
        <v>3</v>
      </c>
      <c r="D528" s="3" t="s">
        <v>42</v>
      </c>
      <c r="E528" s="3" t="s">
        <v>43</v>
      </c>
      <c r="F528" s="3" t="s">
        <v>49</v>
      </c>
      <c r="G528" s="3" t="s">
        <v>39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720</v>
      </c>
      <c r="B529" s="3" t="s">
        <v>380</v>
      </c>
      <c r="C529" s="3" t="s">
        <v>3</v>
      </c>
      <c r="D529" s="3" t="s">
        <v>36</v>
      </c>
      <c r="E529" s="3" t="s">
        <v>37</v>
      </c>
      <c r="F529" s="3" t="s">
        <v>44</v>
      </c>
      <c r="G529" s="3" t="s">
        <v>45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721</v>
      </c>
      <c r="B530" s="3" t="s">
        <v>307</v>
      </c>
      <c r="C530" s="3" t="s">
        <v>3</v>
      </c>
      <c r="D530" s="3" t="s">
        <v>48</v>
      </c>
      <c r="E530" s="3" t="s">
        <v>56</v>
      </c>
      <c r="F530" s="3" t="s">
        <v>68</v>
      </c>
      <c r="G530" s="3" t="s">
        <v>45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722</v>
      </c>
      <c r="B531" s="3" t="s">
        <v>662</v>
      </c>
      <c r="C531" s="3" t="s">
        <v>3</v>
      </c>
      <c r="D531" s="3" t="s">
        <v>53</v>
      </c>
      <c r="E531" s="3" t="s">
        <v>43</v>
      </c>
      <c r="F531" s="3" t="s">
        <v>44</v>
      </c>
      <c r="G531" s="3" t="s">
        <v>39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723</v>
      </c>
      <c r="B532" s="3" t="s">
        <v>219</v>
      </c>
      <c r="C532" s="3" t="s">
        <v>3</v>
      </c>
      <c r="D532" s="3" t="s">
        <v>53</v>
      </c>
      <c r="E532" s="3" t="s">
        <v>43</v>
      </c>
      <c r="F532" s="3" t="s">
        <v>44</v>
      </c>
      <c r="G532" s="3" t="s">
        <v>45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724</v>
      </c>
      <c r="B533" s="3" t="s">
        <v>101</v>
      </c>
      <c r="C533" s="3" t="s">
        <v>3</v>
      </c>
      <c r="D533" s="3" t="s">
        <v>42</v>
      </c>
      <c r="E533" s="3" t="s">
        <v>43</v>
      </c>
      <c r="F533" s="3" t="s">
        <v>44</v>
      </c>
      <c r="G533" s="3" t="s">
        <v>45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725</v>
      </c>
      <c r="B534" s="3" t="s">
        <v>121</v>
      </c>
      <c r="C534" s="3" t="s">
        <v>3</v>
      </c>
      <c r="D534" s="3" t="s">
        <v>53</v>
      </c>
      <c r="E534" s="3" t="s">
        <v>43</v>
      </c>
      <c r="F534" s="3" t="s">
        <v>49</v>
      </c>
      <c r="G534" s="3" t="s">
        <v>50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726</v>
      </c>
      <c r="B535" s="3" t="s">
        <v>41</v>
      </c>
      <c r="C535" s="3" t="s">
        <v>3</v>
      </c>
      <c r="D535" s="3" t="s">
        <v>48</v>
      </c>
      <c r="E535" s="3" t="s">
        <v>43</v>
      </c>
      <c r="F535" s="3" t="s">
        <v>38</v>
      </c>
      <c r="G535" s="3" t="s">
        <v>45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727</v>
      </c>
      <c r="B536" s="3" t="s">
        <v>474</v>
      </c>
      <c r="C536" s="3" t="s">
        <v>3</v>
      </c>
      <c r="D536" s="3" t="s">
        <v>36</v>
      </c>
      <c r="E536" s="3" t="s">
        <v>37</v>
      </c>
      <c r="F536" s="3" t="s">
        <v>49</v>
      </c>
      <c r="G536" s="3" t="s">
        <v>45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728</v>
      </c>
      <c r="B537" s="3" t="s">
        <v>237</v>
      </c>
      <c r="C537" s="3" t="s">
        <v>3</v>
      </c>
      <c r="D537" s="3" t="s">
        <v>53</v>
      </c>
      <c r="E537" s="3" t="s">
        <v>43</v>
      </c>
      <c r="F537" s="3" t="s">
        <v>49</v>
      </c>
      <c r="G537" s="3" t="s">
        <v>50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729</v>
      </c>
      <c r="B538" s="3" t="s">
        <v>144</v>
      </c>
      <c r="C538" s="3" t="s">
        <v>3</v>
      </c>
      <c r="D538" s="3" t="s">
        <v>42</v>
      </c>
      <c r="E538" s="3" t="s">
        <v>56</v>
      </c>
      <c r="F538" s="3" t="s">
        <v>68</v>
      </c>
      <c r="G538" s="3" t="s">
        <v>39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730</v>
      </c>
      <c r="B539" s="3" t="s">
        <v>125</v>
      </c>
      <c r="C539" s="3" t="s">
        <v>3</v>
      </c>
      <c r="D539" s="3" t="s">
        <v>48</v>
      </c>
      <c r="E539" s="3" t="s">
        <v>43</v>
      </c>
      <c r="F539" s="3" t="s">
        <v>68</v>
      </c>
      <c r="G539" s="3" t="s">
        <v>45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731</v>
      </c>
      <c r="B540" s="3" t="s">
        <v>112</v>
      </c>
      <c r="C540" s="3" t="s">
        <v>3</v>
      </c>
      <c r="D540" s="3" t="s">
        <v>42</v>
      </c>
      <c r="E540" s="3" t="s">
        <v>43</v>
      </c>
      <c r="F540" s="3" t="s">
        <v>49</v>
      </c>
      <c r="G540" s="3" t="s">
        <v>50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732</v>
      </c>
      <c r="B541" s="3" t="s">
        <v>123</v>
      </c>
      <c r="C541" s="3" t="s">
        <v>3</v>
      </c>
      <c r="D541" s="3" t="s">
        <v>42</v>
      </c>
      <c r="E541" s="3" t="s">
        <v>56</v>
      </c>
      <c r="F541" s="3" t="s">
        <v>49</v>
      </c>
      <c r="G541" s="3" t="s">
        <v>45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733</v>
      </c>
      <c r="B542" s="3" t="s">
        <v>361</v>
      </c>
      <c r="C542" s="3" t="s">
        <v>3</v>
      </c>
      <c r="D542" s="3" t="s">
        <v>36</v>
      </c>
      <c r="E542" s="3" t="s">
        <v>43</v>
      </c>
      <c r="F542" s="3" t="s">
        <v>49</v>
      </c>
      <c r="G542" s="3" t="s">
        <v>39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734</v>
      </c>
      <c r="B543" s="3" t="s">
        <v>135</v>
      </c>
      <c r="C543" s="3" t="s">
        <v>3</v>
      </c>
      <c r="D543" s="3" t="s">
        <v>36</v>
      </c>
      <c r="E543" s="3" t="s">
        <v>43</v>
      </c>
      <c r="F543" s="3" t="s">
        <v>65</v>
      </c>
      <c r="G543" s="3" t="s">
        <v>39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735</v>
      </c>
      <c r="B544" s="3" t="s">
        <v>205</v>
      </c>
      <c r="C544" s="3" t="s">
        <v>3</v>
      </c>
      <c r="D544" s="3" t="s">
        <v>48</v>
      </c>
      <c r="E544" s="3" t="s">
        <v>37</v>
      </c>
      <c r="F544" s="3" t="s">
        <v>49</v>
      </c>
      <c r="G544" s="3" t="s">
        <v>45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736</v>
      </c>
      <c r="B545" s="3" t="s">
        <v>186</v>
      </c>
      <c r="C545" s="3" t="s">
        <v>3</v>
      </c>
      <c r="D545" s="3" t="s">
        <v>48</v>
      </c>
      <c r="E545" s="3" t="s">
        <v>43</v>
      </c>
      <c r="F545" s="3" t="s">
        <v>68</v>
      </c>
      <c r="G545" s="3" t="s">
        <v>50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737</v>
      </c>
      <c r="B546" s="3" t="s">
        <v>156</v>
      </c>
      <c r="C546" s="3" t="s">
        <v>3</v>
      </c>
      <c r="D546" s="3" t="s">
        <v>53</v>
      </c>
      <c r="E546" s="3" t="s">
        <v>37</v>
      </c>
      <c r="F546" s="3" t="s">
        <v>68</v>
      </c>
      <c r="G546" s="3" t="s">
        <v>39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false" outlineLevel="0" collapsed="false">
      <c r="A547" s="3" t="s">
        <v>738</v>
      </c>
      <c r="B547" s="3" t="s">
        <v>248</v>
      </c>
      <c r="C547" s="3" t="s">
        <v>3</v>
      </c>
      <c r="D547" s="3" t="s">
        <v>48</v>
      </c>
      <c r="E547" s="3" t="s">
        <v>43</v>
      </c>
      <c r="F547" s="3" t="s">
        <v>49</v>
      </c>
      <c r="G547" s="3" t="s">
        <v>39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739</v>
      </c>
      <c r="B548" s="3" t="s">
        <v>662</v>
      </c>
      <c r="C548" s="3" t="s">
        <v>3</v>
      </c>
      <c r="D548" s="3" t="s">
        <v>36</v>
      </c>
      <c r="E548" s="3" t="s">
        <v>56</v>
      </c>
      <c r="F548" s="3" t="s">
        <v>49</v>
      </c>
      <c r="G548" s="3" t="s">
        <v>45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740</v>
      </c>
      <c r="B549" s="3" t="s">
        <v>35</v>
      </c>
      <c r="C549" s="3" t="s">
        <v>3</v>
      </c>
      <c r="D549" s="3" t="s">
        <v>36</v>
      </c>
      <c r="E549" s="3" t="s">
        <v>43</v>
      </c>
      <c r="F549" s="3" t="s">
        <v>44</v>
      </c>
      <c r="G549" s="3" t="s">
        <v>39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741</v>
      </c>
      <c r="B550" s="3" t="s">
        <v>77</v>
      </c>
      <c r="C550" s="3" t="s">
        <v>3</v>
      </c>
      <c r="D550" s="3" t="s">
        <v>48</v>
      </c>
      <c r="E550" s="3" t="s">
        <v>37</v>
      </c>
      <c r="F550" s="3" t="s">
        <v>68</v>
      </c>
      <c r="G550" s="3" t="s">
        <v>45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742</v>
      </c>
      <c r="B551" s="3" t="s">
        <v>190</v>
      </c>
      <c r="C551" s="3" t="s">
        <v>3</v>
      </c>
      <c r="D551" s="3" t="s">
        <v>36</v>
      </c>
      <c r="E551" s="3" t="s">
        <v>43</v>
      </c>
      <c r="F551" s="3" t="s">
        <v>68</v>
      </c>
      <c r="G551" s="3" t="s">
        <v>50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743</v>
      </c>
      <c r="B552" s="3" t="s">
        <v>219</v>
      </c>
      <c r="C552" s="3" t="s">
        <v>3</v>
      </c>
      <c r="D552" s="3" t="s">
        <v>48</v>
      </c>
      <c r="E552" s="3"/>
      <c r="F552" s="3" t="s">
        <v>68</v>
      </c>
      <c r="G552" s="3" t="s">
        <v>45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744</v>
      </c>
      <c r="B553" s="3" t="s">
        <v>246</v>
      </c>
      <c r="C553" s="3" t="s">
        <v>3</v>
      </c>
      <c r="D553" s="3" t="s">
        <v>53</v>
      </c>
      <c r="E553" s="3" t="s">
        <v>56</v>
      </c>
      <c r="F553" s="3" t="s">
        <v>65</v>
      </c>
      <c r="G553" s="3" t="s">
        <v>39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745</v>
      </c>
      <c r="B554" s="3" t="s">
        <v>500</v>
      </c>
      <c r="C554" s="3" t="s">
        <v>3</v>
      </c>
      <c r="D554" s="3" t="s">
        <v>36</v>
      </c>
      <c r="E554" s="3" t="s">
        <v>43</v>
      </c>
      <c r="F554" s="3" t="s">
        <v>44</v>
      </c>
      <c r="G554" s="3" t="s">
        <v>45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746</v>
      </c>
      <c r="B555" s="3" t="s">
        <v>578</v>
      </c>
      <c r="C555" s="3" t="s">
        <v>3</v>
      </c>
      <c r="D555" s="3" t="s">
        <v>42</v>
      </c>
      <c r="E555" s="3" t="s">
        <v>43</v>
      </c>
      <c r="F555" s="3" t="s">
        <v>44</v>
      </c>
      <c r="G555" s="3" t="s">
        <v>45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747</v>
      </c>
      <c r="B556" s="3" t="s">
        <v>219</v>
      </c>
      <c r="C556" s="3" t="s">
        <v>3</v>
      </c>
      <c r="D556" s="3" t="s">
        <v>53</v>
      </c>
      <c r="E556" s="3"/>
      <c r="F556" s="3" t="s">
        <v>44</v>
      </c>
      <c r="G556" s="3" t="s">
        <v>45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748</v>
      </c>
      <c r="B557" s="3" t="s">
        <v>276</v>
      </c>
      <c r="C557" s="3" t="s">
        <v>3</v>
      </c>
      <c r="D557" s="3" t="s">
        <v>53</v>
      </c>
      <c r="E557" s="3" t="s">
        <v>43</v>
      </c>
      <c r="F557" s="3" t="s">
        <v>68</v>
      </c>
      <c r="G557" s="3" t="s">
        <v>39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749</v>
      </c>
      <c r="B558" s="3" t="s">
        <v>421</v>
      </c>
      <c r="C558" s="3" t="s">
        <v>3</v>
      </c>
      <c r="D558" s="3" t="s">
        <v>36</v>
      </c>
      <c r="E558" s="3" t="s">
        <v>43</v>
      </c>
      <c r="F558" s="3" t="s">
        <v>49</v>
      </c>
      <c r="G558" s="3" t="s">
        <v>50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750</v>
      </c>
      <c r="B559" s="3" t="s">
        <v>184</v>
      </c>
      <c r="C559" s="3" t="s">
        <v>3</v>
      </c>
      <c r="D559" s="3" t="s">
        <v>36</v>
      </c>
      <c r="E559" s="3" t="s">
        <v>37</v>
      </c>
      <c r="F559" s="3" t="s">
        <v>49</v>
      </c>
      <c r="G559" s="3" t="s">
        <v>45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751</v>
      </c>
      <c r="B560" s="3" t="s">
        <v>95</v>
      </c>
      <c r="C560" s="3" t="s">
        <v>3</v>
      </c>
      <c r="D560" s="3" t="s">
        <v>36</v>
      </c>
      <c r="E560" s="3" t="s">
        <v>37</v>
      </c>
      <c r="F560" s="3" t="s">
        <v>44</v>
      </c>
      <c r="G560" s="3" t="s">
        <v>50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752</v>
      </c>
      <c r="B561" s="3" t="s">
        <v>41</v>
      </c>
      <c r="C561" s="3" t="s">
        <v>3</v>
      </c>
      <c r="D561" s="3" t="s">
        <v>36</v>
      </c>
      <c r="E561" s="3" t="s">
        <v>43</v>
      </c>
      <c r="F561" s="3" t="s">
        <v>44</v>
      </c>
      <c r="G561" s="3" t="s">
        <v>45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753</v>
      </c>
      <c r="B562" s="3" t="s">
        <v>190</v>
      </c>
      <c r="C562" s="3" t="s">
        <v>3</v>
      </c>
      <c r="D562" s="3" t="s">
        <v>36</v>
      </c>
      <c r="E562" s="3" t="s">
        <v>43</v>
      </c>
      <c r="F562" s="3" t="s">
        <v>68</v>
      </c>
      <c r="G562" s="3" t="s">
        <v>39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754</v>
      </c>
      <c r="B563" s="3" t="s">
        <v>319</v>
      </c>
      <c r="C563" s="3" t="s">
        <v>3</v>
      </c>
      <c r="D563" s="3" t="s">
        <v>48</v>
      </c>
      <c r="E563" s="3" t="s">
        <v>43</v>
      </c>
      <c r="F563" s="3" t="s">
        <v>68</v>
      </c>
      <c r="G563" s="3" t="s">
        <v>39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755</v>
      </c>
      <c r="B564" s="3" t="s">
        <v>433</v>
      </c>
      <c r="C564" s="3" t="s">
        <v>3</v>
      </c>
      <c r="D564" s="3" t="s">
        <v>48</v>
      </c>
      <c r="E564" s="3" t="s">
        <v>37</v>
      </c>
      <c r="F564" s="3" t="s">
        <v>44</v>
      </c>
      <c r="G564" s="3" t="s">
        <v>39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756</v>
      </c>
      <c r="B565" s="3" t="s">
        <v>99</v>
      </c>
      <c r="C565" s="3" t="s">
        <v>3</v>
      </c>
      <c r="D565" s="3" t="s">
        <v>48</v>
      </c>
      <c r="E565" s="3" t="s">
        <v>43</v>
      </c>
      <c r="F565" s="3" t="s">
        <v>44</v>
      </c>
      <c r="G565" s="3" t="s">
        <v>50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757</v>
      </c>
      <c r="B566" s="3" t="s">
        <v>192</v>
      </c>
      <c r="C566" s="3" t="s">
        <v>3</v>
      </c>
      <c r="D566" s="3" t="s">
        <v>42</v>
      </c>
      <c r="E566" s="3" t="s">
        <v>43</v>
      </c>
      <c r="F566" s="3" t="s">
        <v>44</v>
      </c>
      <c r="G566" s="3" t="s">
        <v>39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758</v>
      </c>
      <c r="B567" s="3" t="s">
        <v>160</v>
      </c>
      <c r="C567" s="3" t="s">
        <v>3</v>
      </c>
      <c r="D567" s="3" t="s">
        <v>48</v>
      </c>
      <c r="E567" s="3" t="s">
        <v>43</v>
      </c>
      <c r="F567" s="3" t="s">
        <v>68</v>
      </c>
      <c r="G567" s="3" t="s">
        <v>50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759</v>
      </c>
      <c r="B568" s="3" t="s">
        <v>64</v>
      </c>
      <c r="C568" s="3" t="s">
        <v>3</v>
      </c>
      <c r="D568" s="3" t="s">
        <v>36</v>
      </c>
      <c r="E568" s="3" t="s">
        <v>56</v>
      </c>
      <c r="F568" s="3" t="s">
        <v>65</v>
      </c>
      <c r="G568" s="3" t="s">
        <v>39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760</v>
      </c>
      <c r="B569" s="3" t="s">
        <v>474</v>
      </c>
      <c r="C569" s="3" t="s">
        <v>3</v>
      </c>
      <c r="D569" s="3" t="s">
        <v>42</v>
      </c>
      <c r="E569" s="3" t="s">
        <v>43</v>
      </c>
      <c r="F569" s="3" t="s">
        <v>49</v>
      </c>
      <c r="G569" s="3" t="s">
        <v>50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761</v>
      </c>
      <c r="B570" s="3" t="s">
        <v>596</v>
      </c>
      <c r="C570" s="3" t="s">
        <v>3</v>
      </c>
      <c r="D570" s="3" t="s">
        <v>42</v>
      </c>
      <c r="E570" s="3" t="s">
        <v>37</v>
      </c>
      <c r="F570" s="3" t="s">
        <v>44</v>
      </c>
      <c r="G570" s="3" t="s">
        <v>39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762</v>
      </c>
      <c r="B571" s="3" t="s">
        <v>169</v>
      </c>
      <c r="C571" s="3" t="s">
        <v>3</v>
      </c>
      <c r="D571" s="3" t="s">
        <v>36</v>
      </c>
      <c r="E571" s="3" t="s">
        <v>43</v>
      </c>
      <c r="F571" s="3" t="s">
        <v>65</v>
      </c>
      <c r="G571" s="3" t="s">
        <v>45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763</v>
      </c>
      <c r="B572" s="3" t="s">
        <v>273</v>
      </c>
      <c r="C572" s="3" t="s">
        <v>3</v>
      </c>
      <c r="D572" s="3" t="s">
        <v>42</v>
      </c>
      <c r="E572" s="3" t="s">
        <v>43</v>
      </c>
      <c r="F572" s="3" t="s">
        <v>49</v>
      </c>
      <c r="G572" s="3" t="s">
        <v>45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764</v>
      </c>
      <c r="B573" s="3" t="s">
        <v>319</v>
      </c>
      <c r="C573" s="3" t="s">
        <v>3</v>
      </c>
      <c r="D573" s="3" t="s">
        <v>48</v>
      </c>
      <c r="E573" s="3" t="s">
        <v>43</v>
      </c>
      <c r="F573" s="3" t="s">
        <v>38</v>
      </c>
      <c r="G573" s="3" t="s">
        <v>39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765</v>
      </c>
      <c r="B574" s="3" t="s">
        <v>466</v>
      </c>
      <c r="C574" s="3" t="s">
        <v>3</v>
      </c>
      <c r="D574" s="3" t="s">
        <v>53</v>
      </c>
      <c r="E574" s="3" t="s">
        <v>37</v>
      </c>
      <c r="F574" s="3" t="s">
        <v>44</v>
      </c>
      <c r="G574" s="3" t="s">
        <v>45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766</v>
      </c>
      <c r="B575" s="3" t="s">
        <v>190</v>
      </c>
      <c r="C575" s="3" t="s">
        <v>3</v>
      </c>
      <c r="D575" s="3" t="s">
        <v>53</v>
      </c>
      <c r="E575" s="3" t="s">
        <v>43</v>
      </c>
      <c r="F575" s="3" t="s">
        <v>38</v>
      </c>
      <c r="G575" s="3" t="s">
        <v>45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767</v>
      </c>
      <c r="B576" s="3" t="s">
        <v>259</v>
      </c>
      <c r="C576" s="3" t="s">
        <v>3</v>
      </c>
      <c r="D576" s="3" t="s">
        <v>42</v>
      </c>
      <c r="E576" s="3" t="s">
        <v>43</v>
      </c>
      <c r="F576" s="3" t="s">
        <v>68</v>
      </c>
      <c r="G576" s="3" t="s">
        <v>45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768</v>
      </c>
      <c r="B577" s="3" t="s">
        <v>119</v>
      </c>
      <c r="C577" s="3" t="s">
        <v>3</v>
      </c>
      <c r="D577" s="3" t="s">
        <v>48</v>
      </c>
      <c r="E577" s="3" t="s">
        <v>37</v>
      </c>
      <c r="F577" s="3" t="s">
        <v>49</v>
      </c>
      <c r="G577" s="3" t="s">
        <v>39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769</v>
      </c>
      <c r="B578" s="3" t="s">
        <v>428</v>
      </c>
      <c r="C578" s="3" t="s">
        <v>3</v>
      </c>
      <c r="D578" s="3" t="s">
        <v>53</v>
      </c>
      <c r="E578" s="3" t="s">
        <v>56</v>
      </c>
      <c r="F578" s="3" t="s">
        <v>44</v>
      </c>
      <c r="G578" s="3" t="s">
        <v>45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770</v>
      </c>
      <c r="B579" s="3" t="s">
        <v>402</v>
      </c>
      <c r="C579" s="3" t="s">
        <v>3</v>
      </c>
      <c r="D579" s="3" t="s">
        <v>48</v>
      </c>
      <c r="E579" s="3" t="s">
        <v>56</v>
      </c>
      <c r="F579" s="3" t="s">
        <v>44</v>
      </c>
      <c r="G579" s="3" t="s">
        <v>50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771</v>
      </c>
      <c r="B580" s="3" t="s">
        <v>144</v>
      </c>
      <c r="C580" s="3" t="s">
        <v>3</v>
      </c>
      <c r="D580" s="3" t="s">
        <v>42</v>
      </c>
      <c r="E580" s="3" t="s">
        <v>56</v>
      </c>
      <c r="F580" s="3" t="s">
        <v>44</v>
      </c>
      <c r="G580" s="3" t="s">
        <v>45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772</v>
      </c>
      <c r="B581" s="3" t="s">
        <v>41</v>
      </c>
      <c r="C581" s="3" t="s">
        <v>3</v>
      </c>
      <c r="D581" s="3" t="s">
        <v>48</v>
      </c>
      <c r="E581" s="3" t="s">
        <v>37</v>
      </c>
      <c r="F581" s="3" t="s">
        <v>49</v>
      </c>
      <c r="G581" s="3" t="s">
        <v>45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773</v>
      </c>
      <c r="B582" s="3" t="s">
        <v>222</v>
      </c>
      <c r="C582" s="3" t="s">
        <v>3</v>
      </c>
      <c r="D582" s="3" t="s">
        <v>53</v>
      </c>
      <c r="E582" s="3" t="s">
        <v>37</v>
      </c>
      <c r="F582" s="3" t="s">
        <v>49</v>
      </c>
      <c r="G582" s="3" t="s">
        <v>45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774</v>
      </c>
      <c r="B583" s="3" t="s">
        <v>662</v>
      </c>
      <c r="C583" s="3" t="s">
        <v>3</v>
      </c>
      <c r="D583" s="3" t="s">
        <v>48</v>
      </c>
      <c r="E583" s="3" t="s">
        <v>37</v>
      </c>
      <c r="F583" s="3" t="s">
        <v>49</v>
      </c>
      <c r="G583" s="3" t="s">
        <v>45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775</v>
      </c>
      <c r="B584" s="3" t="s">
        <v>224</v>
      </c>
      <c r="C584" s="3" t="s">
        <v>3</v>
      </c>
      <c r="D584" s="3" t="s">
        <v>42</v>
      </c>
      <c r="E584" s="3" t="s">
        <v>37</v>
      </c>
      <c r="F584" s="3" t="s">
        <v>49</v>
      </c>
      <c r="G584" s="3" t="s">
        <v>45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776</v>
      </c>
      <c r="B585" s="3" t="s">
        <v>85</v>
      </c>
      <c r="C585" s="3" t="s">
        <v>3</v>
      </c>
      <c r="D585" s="3" t="s">
        <v>53</v>
      </c>
      <c r="E585" s="3" t="s">
        <v>37</v>
      </c>
      <c r="F585" s="3" t="s">
        <v>49</v>
      </c>
      <c r="G585" s="3" t="s">
        <v>45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777</v>
      </c>
      <c r="B586" s="3" t="s">
        <v>137</v>
      </c>
      <c r="C586" s="3" t="s">
        <v>3</v>
      </c>
      <c r="D586" s="3" t="s">
        <v>36</v>
      </c>
      <c r="E586" s="3" t="s">
        <v>43</v>
      </c>
      <c r="F586" s="3" t="s">
        <v>68</v>
      </c>
      <c r="G586" s="3" t="s">
        <v>45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778</v>
      </c>
      <c r="B587" s="3" t="s">
        <v>279</v>
      </c>
      <c r="C587" s="3" t="s">
        <v>3</v>
      </c>
      <c r="D587" s="3" t="s">
        <v>53</v>
      </c>
      <c r="E587" s="3" t="s">
        <v>43</v>
      </c>
      <c r="F587" s="3" t="s">
        <v>44</v>
      </c>
      <c r="G587" s="3" t="s">
        <v>50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779</v>
      </c>
      <c r="B588" s="3" t="s">
        <v>91</v>
      </c>
      <c r="C588" s="3" t="s">
        <v>3</v>
      </c>
      <c r="D588" s="3" t="s">
        <v>48</v>
      </c>
      <c r="E588" s="3" t="s">
        <v>56</v>
      </c>
      <c r="F588" s="3" t="s">
        <v>44</v>
      </c>
      <c r="G588" s="3" t="s">
        <v>45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780</v>
      </c>
      <c r="B589" s="3" t="s">
        <v>402</v>
      </c>
      <c r="C589" s="3" t="s">
        <v>3</v>
      </c>
      <c r="D589" s="3" t="s">
        <v>36</v>
      </c>
      <c r="E589" s="3" t="s">
        <v>43</v>
      </c>
      <c r="F589" s="3" t="s">
        <v>68</v>
      </c>
      <c r="G589" s="3" t="s">
        <v>39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781</v>
      </c>
      <c r="B590" s="3" t="s">
        <v>146</v>
      </c>
      <c r="C590" s="3" t="s">
        <v>3</v>
      </c>
      <c r="D590" s="3" t="s">
        <v>48</v>
      </c>
      <c r="E590" s="3" t="s">
        <v>43</v>
      </c>
      <c r="F590" s="3" t="s">
        <v>44</v>
      </c>
      <c r="G590" s="3" t="s">
        <v>45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782</v>
      </c>
      <c r="B591" s="3" t="s">
        <v>188</v>
      </c>
      <c r="C591" s="3" t="s">
        <v>3</v>
      </c>
      <c r="D591" s="3" t="s">
        <v>48</v>
      </c>
      <c r="E591" s="3" t="s">
        <v>43</v>
      </c>
      <c r="F591" s="3" t="s">
        <v>44</v>
      </c>
      <c r="G591" s="3" t="s">
        <v>50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783</v>
      </c>
      <c r="B592" s="3" t="s">
        <v>457</v>
      </c>
      <c r="C592" s="3" t="s">
        <v>3</v>
      </c>
      <c r="D592" s="3" t="s">
        <v>48</v>
      </c>
      <c r="E592" s="3" t="s">
        <v>43</v>
      </c>
      <c r="F592" s="3" t="s">
        <v>49</v>
      </c>
      <c r="G592" s="3" t="s">
        <v>45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784</v>
      </c>
      <c r="B593" s="3" t="s">
        <v>279</v>
      </c>
      <c r="C593" s="3" t="s">
        <v>3</v>
      </c>
      <c r="D593" s="3" t="s">
        <v>36</v>
      </c>
      <c r="E593" s="3" t="s">
        <v>56</v>
      </c>
      <c r="F593" s="3" t="s">
        <v>68</v>
      </c>
      <c r="G593" s="3" t="s">
        <v>45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785</v>
      </c>
      <c r="B594" s="3" t="s">
        <v>786</v>
      </c>
      <c r="C594" s="3" t="s">
        <v>3</v>
      </c>
      <c r="D594" s="3" t="s">
        <v>48</v>
      </c>
      <c r="E594" s="3" t="s">
        <v>43</v>
      </c>
      <c r="F594" s="3" t="s">
        <v>38</v>
      </c>
      <c r="G594" s="3" t="s">
        <v>45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787</v>
      </c>
      <c r="B595" s="3" t="s">
        <v>144</v>
      </c>
      <c r="C595" s="3" t="s">
        <v>3</v>
      </c>
      <c r="D595" s="3" t="s">
        <v>53</v>
      </c>
      <c r="E595" s="3" t="s">
        <v>43</v>
      </c>
      <c r="F595" s="3" t="s">
        <v>68</v>
      </c>
      <c r="G595" s="3" t="s">
        <v>39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788</v>
      </c>
      <c r="B596" s="3" t="s">
        <v>446</v>
      </c>
      <c r="C596" s="3" t="s">
        <v>3</v>
      </c>
      <c r="D596" s="3" t="s">
        <v>53</v>
      </c>
      <c r="E596" s="3" t="s">
        <v>43</v>
      </c>
      <c r="F596" s="3" t="s">
        <v>68</v>
      </c>
      <c r="G596" s="3" t="s">
        <v>39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789</v>
      </c>
      <c r="B597" s="3" t="s">
        <v>368</v>
      </c>
      <c r="C597" s="3" t="s">
        <v>3</v>
      </c>
      <c r="D597" s="3" t="s">
        <v>36</v>
      </c>
      <c r="E597" s="3" t="s">
        <v>43</v>
      </c>
      <c r="F597" s="3" t="s">
        <v>68</v>
      </c>
      <c r="G597" s="3" t="s">
        <v>45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790</v>
      </c>
      <c r="B598" s="3" t="s">
        <v>276</v>
      </c>
      <c r="C598" s="3" t="s">
        <v>3</v>
      </c>
      <c r="D598" s="3" t="s">
        <v>36</v>
      </c>
      <c r="E598" s="3" t="s">
        <v>37</v>
      </c>
      <c r="F598" s="3" t="s">
        <v>44</v>
      </c>
      <c r="G598" s="3" t="s">
        <v>45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791</v>
      </c>
      <c r="B599" s="3" t="s">
        <v>283</v>
      </c>
      <c r="C599" s="3" t="s">
        <v>3</v>
      </c>
      <c r="D599" s="3" t="s">
        <v>42</v>
      </c>
      <c r="E599" s="3" t="s">
        <v>37</v>
      </c>
      <c r="F599" s="3" t="s">
        <v>44</v>
      </c>
      <c r="G599" s="3" t="s">
        <v>45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792</v>
      </c>
      <c r="B600" s="3" t="s">
        <v>246</v>
      </c>
      <c r="C600" s="3" t="s">
        <v>3</v>
      </c>
      <c r="D600" s="3" t="s">
        <v>36</v>
      </c>
      <c r="E600" s="3" t="s">
        <v>43</v>
      </c>
      <c r="F600" s="3" t="s">
        <v>44</v>
      </c>
      <c r="G600" s="3" t="s">
        <v>45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793</v>
      </c>
      <c r="B601" s="3" t="s">
        <v>500</v>
      </c>
      <c r="C601" s="3" t="s">
        <v>3</v>
      </c>
      <c r="D601" s="3" t="s">
        <v>53</v>
      </c>
      <c r="E601" s="3" t="s">
        <v>37</v>
      </c>
      <c r="F601" s="3" t="s">
        <v>49</v>
      </c>
      <c r="G601" s="3" t="s">
        <v>45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794</v>
      </c>
      <c r="B602" s="3" t="s">
        <v>425</v>
      </c>
      <c r="C602" s="3" t="s">
        <v>3</v>
      </c>
      <c r="D602" s="3" t="s">
        <v>48</v>
      </c>
      <c r="E602" s="3" t="s">
        <v>37</v>
      </c>
      <c r="F602" s="3" t="s">
        <v>65</v>
      </c>
      <c r="G602" s="3" t="s">
        <v>50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795</v>
      </c>
      <c r="B603" s="3" t="s">
        <v>345</v>
      </c>
      <c r="C603" s="3" t="s">
        <v>3</v>
      </c>
      <c r="D603" s="3" t="s">
        <v>53</v>
      </c>
      <c r="E603" s="3" t="s">
        <v>37</v>
      </c>
      <c r="F603" s="3" t="s">
        <v>68</v>
      </c>
      <c r="G603" s="3" t="s">
        <v>45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796</v>
      </c>
      <c r="B604" s="3" t="s">
        <v>257</v>
      </c>
      <c r="C604" s="3" t="s">
        <v>3</v>
      </c>
      <c r="D604" s="3" t="s">
        <v>48</v>
      </c>
      <c r="E604" s="3" t="s">
        <v>43</v>
      </c>
      <c r="F604" s="3" t="s">
        <v>49</v>
      </c>
      <c r="G604" s="3" t="s">
        <v>45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797</v>
      </c>
      <c r="B605" s="3" t="s">
        <v>62</v>
      </c>
      <c r="C605" s="3" t="s">
        <v>3</v>
      </c>
      <c r="D605" s="3" t="s">
        <v>36</v>
      </c>
      <c r="E605" s="3" t="s">
        <v>43</v>
      </c>
      <c r="F605" s="3" t="s">
        <v>38</v>
      </c>
      <c r="G605" s="3" t="s">
        <v>45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798</v>
      </c>
      <c r="B606" s="3" t="s">
        <v>125</v>
      </c>
      <c r="C606" s="3" t="s">
        <v>3</v>
      </c>
      <c r="D606" s="3" t="s">
        <v>48</v>
      </c>
      <c r="E606" s="3" t="s">
        <v>37</v>
      </c>
      <c r="F606" s="3" t="s">
        <v>65</v>
      </c>
      <c r="G606" s="3" t="s">
        <v>39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799</v>
      </c>
      <c r="B607" s="3" t="s">
        <v>52</v>
      </c>
      <c r="C607" s="3" t="s">
        <v>3</v>
      </c>
      <c r="D607" s="3" t="s">
        <v>42</v>
      </c>
      <c r="E607" s="3" t="s">
        <v>43</v>
      </c>
      <c r="F607" s="3" t="s">
        <v>49</v>
      </c>
      <c r="G607" s="3" t="s">
        <v>50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800</v>
      </c>
      <c r="B608" s="3" t="s">
        <v>154</v>
      </c>
      <c r="C608" s="3" t="s">
        <v>3</v>
      </c>
      <c r="D608" s="3" t="s">
        <v>42</v>
      </c>
      <c r="E608" s="3" t="s">
        <v>43</v>
      </c>
      <c r="F608" s="3" t="s">
        <v>44</v>
      </c>
      <c r="G608" s="3" t="s">
        <v>45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801</v>
      </c>
      <c r="B609" s="3" t="s">
        <v>377</v>
      </c>
      <c r="C609" s="3" t="s">
        <v>3</v>
      </c>
      <c r="D609" s="3" t="s">
        <v>53</v>
      </c>
      <c r="E609" s="3" t="s">
        <v>43</v>
      </c>
      <c r="F609" s="3" t="s">
        <v>49</v>
      </c>
      <c r="G609" s="3" t="s">
        <v>45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802</v>
      </c>
      <c r="B610" s="3" t="s">
        <v>578</v>
      </c>
      <c r="C610" s="3" t="s">
        <v>3</v>
      </c>
      <c r="D610" s="3" t="s">
        <v>53</v>
      </c>
      <c r="E610" s="3" t="s">
        <v>37</v>
      </c>
      <c r="F610" s="3" t="s">
        <v>38</v>
      </c>
      <c r="G610" s="3" t="s">
        <v>39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803</v>
      </c>
      <c r="B611" s="3" t="s">
        <v>786</v>
      </c>
      <c r="C611" s="3" t="s">
        <v>3</v>
      </c>
      <c r="D611" s="3" t="s">
        <v>36</v>
      </c>
      <c r="E611" s="3" t="s">
        <v>56</v>
      </c>
      <c r="F611" s="3" t="s">
        <v>49</v>
      </c>
      <c r="G611" s="3" t="s">
        <v>45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804</v>
      </c>
      <c r="B612" s="3" t="s">
        <v>166</v>
      </c>
      <c r="C612" s="3" t="s">
        <v>3</v>
      </c>
      <c r="D612" s="3" t="s">
        <v>53</v>
      </c>
      <c r="E612" s="3" t="s">
        <v>37</v>
      </c>
      <c r="F612" s="3" t="s">
        <v>44</v>
      </c>
      <c r="G612" s="3" t="s">
        <v>39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805</v>
      </c>
      <c r="B613" s="3" t="s">
        <v>806</v>
      </c>
      <c r="C613" s="3" t="s">
        <v>3</v>
      </c>
      <c r="D613" s="3" t="s">
        <v>48</v>
      </c>
      <c r="E613" s="3" t="s">
        <v>43</v>
      </c>
      <c r="F613" s="3" t="s">
        <v>44</v>
      </c>
      <c r="G613" s="3" t="s">
        <v>39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807</v>
      </c>
      <c r="B614" s="3" t="s">
        <v>459</v>
      </c>
      <c r="C614" s="3" t="s">
        <v>3</v>
      </c>
      <c r="D614" s="3" t="s">
        <v>53</v>
      </c>
      <c r="E614" s="3" t="s">
        <v>37</v>
      </c>
      <c r="F614" s="3" t="s">
        <v>44</v>
      </c>
      <c r="G614" s="3" t="s">
        <v>39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808</v>
      </c>
      <c r="B615" s="3" t="s">
        <v>345</v>
      </c>
      <c r="C615" s="3" t="s">
        <v>3</v>
      </c>
      <c r="D615" s="3" t="s">
        <v>42</v>
      </c>
      <c r="E615" s="3" t="s">
        <v>37</v>
      </c>
      <c r="F615" s="3" t="s">
        <v>44</v>
      </c>
      <c r="G615" s="3" t="s">
        <v>50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809</v>
      </c>
      <c r="B616" s="3" t="s">
        <v>361</v>
      </c>
      <c r="C616" s="3" t="s">
        <v>3</v>
      </c>
      <c r="D616" s="3" t="s">
        <v>42</v>
      </c>
      <c r="E616" s="3" t="s">
        <v>43</v>
      </c>
      <c r="F616" s="3" t="s">
        <v>65</v>
      </c>
      <c r="G616" s="3" t="s">
        <v>50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810</v>
      </c>
      <c r="B617" s="3" t="s">
        <v>219</v>
      </c>
      <c r="C617" s="3" t="s">
        <v>3</v>
      </c>
      <c r="D617" s="3" t="s">
        <v>36</v>
      </c>
      <c r="E617" s="3" t="s">
        <v>43</v>
      </c>
      <c r="F617" s="3" t="s">
        <v>44</v>
      </c>
      <c r="G617" s="3" t="s">
        <v>50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811</v>
      </c>
      <c r="B618" s="3" t="s">
        <v>373</v>
      </c>
      <c r="C618" s="3" t="s">
        <v>3</v>
      </c>
      <c r="D618" s="3" t="s">
        <v>36</v>
      </c>
      <c r="E618" s="3" t="s">
        <v>43</v>
      </c>
      <c r="F618" s="3" t="s">
        <v>65</v>
      </c>
      <c r="G618" s="3" t="s">
        <v>39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812</v>
      </c>
      <c r="B619" s="3" t="s">
        <v>402</v>
      </c>
      <c r="C619" s="3" t="s">
        <v>3</v>
      </c>
      <c r="D619" s="3" t="s">
        <v>42</v>
      </c>
      <c r="E619" s="3" t="s">
        <v>43</v>
      </c>
      <c r="F619" s="3" t="s">
        <v>68</v>
      </c>
      <c r="G619" s="3" t="s">
        <v>45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813</v>
      </c>
      <c r="B620" s="3" t="s">
        <v>182</v>
      </c>
      <c r="C620" s="3" t="s">
        <v>3</v>
      </c>
      <c r="D620" s="3" t="s">
        <v>42</v>
      </c>
      <c r="E620" s="3" t="s">
        <v>37</v>
      </c>
      <c r="F620" s="3" t="s">
        <v>38</v>
      </c>
      <c r="G620" s="3" t="s">
        <v>39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814</v>
      </c>
      <c r="B621" s="3" t="s">
        <v>112</v>
      </c>
      <c r="C621" s="3" t="s">
        <v>3</v>
      </c>
      <c r="D621" s="3" t="s">
        <v>36</v>
      </c>
      <c r="E621" s="3" t="s">
        <v>43</v>
      </c>
      <c r="F621" s="3" t="s">
        <v>49</v>
      </c>
      <c r="G621" s="3" t="s">
        <v>45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815</v>
      </c>
      <c r="B622" s="3" t="s">
        <v>386</v>
      </c>
      <c r="C622" s="3" t="s">
        <v>3</v>
      </c>
      <c r="D622" s="3" t="s">
        <v>53</v>
      </c>
      <c r="E622" s="3" t="s">
        <v>43</v>
      </c>
      <c r="F622" s="3" t="s">
        <v>68</v>
      </c>
      <c r="G622" s="3" t="s">
        <v>50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816</v>
      </c>
      <c r="B623" s="3" t="s">
        <v>79</v>
      </c>
      <c r="C623" s="3" t="s">
        <v>3</v>
      </c>
      <c r="D623" s="3" t="s">
        <v>48</v>
      </c>
      <c r="E623" s="3" t="s">
        <v>43</v>
      </c>
      <c r="F623" s="3" t="s">
        <v>49</v>
      </c>
      <c r="G623" s="3" t="s">
        <v>39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817</v>
      </c>
      <c r="B624" s="3" t="s">
        <v>459</v>
      </c>
      <c r="C624" s="3" t="s">
        <v>3</v>
      </c>
      <c r="D624" s="3" t="s">
        <v>53</v>
      </c>
      <c r="E624" s="3" t="s">
        <v>43</v>
      </c>
      <c r="F624" s="3" t="s">
        <v>49</v>
      </c>
      <c r="G624" s="3" t="s">
        <v>45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818</v>
      </c>
      <c r="B625" s="3" t="s">
        <v>158</v>
      </c>
      <c r="C625" s="3" t="s">
        <v>3</v>
      </c>
      <c r="D625" s="3" t="s">
        <v>48</v>
      </c>
      <c r="E625" s="3" t="s">
        <v>43</v>
      </c>
      <c r="F625" s="3" t="s">
        <v>44</v>
      </c>
      <c r="G625" s="3" t="s">
        <v>39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819</v>
      </c>
      <c r="B626" s="3" t="s">
        <v>404</v>
      </c>
      <c r="C626" s="3" t="s">
        <v>3</v>
      </c>
      <c r="D626" s="3" t="s">
        <v>48</v>
      </c>
      <c r="E626" s="3" t="s">
        <v>43</v>
      </c>
      <c r="F626" s="3" t="s">
        <v>38</v>
      </c>
      <c r="G626" s="3" t="s">
        <v>45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820</v>
      </c>
      <c r="B627" s="3" t="s">
        <v>578</v>
      </c>
      <c r="C627" s="3" t="s">
        <v>3</v>
      </c>
      <c r="D627" s="3" t="s">
        <v>36</v>
      </c>
      <c r="E627" s="3" t="s">
        <v>37</v>
      </c>
      <c r="F627" s="3" t="s">
        <v>68</v>
      </c>
      <c r="G627" s="3" t="s">
        <v>45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821</v>
      </c>
      <c r="B628" s="3" t="s">
        <v>371</v>
      </c>
      <c r="C628" s="3" t="s">
        <v>3</v>
      </c>
      <c r="D628" s="3" t="s">
        <v>42</v>
      </c>
      <c r="E628" s="3" t="s">
        <v>43</v>
      </c>
      <c r="F628" s="3" t="s">
        <v>49</v>
      </c>
      <c r="G628" s="3" t="s">
        <v>39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822</v>
      </c>
      <c r="B629" s="3" t="s">
        <v>433</v>
      </c>
      <c r="C629" s="3" t="s">
        <v>3</v>
      </c>
      <c r="D629" s="3" t="s">
        <v>53</v>
      </c>
      <c r="E629" s="3" t="s">
        <v>43</v>
      </c>
      <c r="F629" s="3" t="s">
        <v>49</v>
      </c>
      <c r="G629" s="3" t="s">
        <v>45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823</v>
      </c>
      <c r="B630" s="3" t="s">
        <v>148</v>
      </c>
      <c r="C630" s="3" t="s">
        <v>3</v>
      </c>
      <c r="D630" s="3" t="s">
        <v>53</v>
      </c>
      <c r="E630" s="3" t="s">
        <v>43</v>
      </c>
      <c r="F630" s="3" t="s">
        <v>65</v>
      </c>
      <c r="G630" s="3" t="s">
        <v>45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824</v>
      </c>
      <c r="B631" s="3" t="s">
        <v>224</v>
      </c>
      <c r="C631" s="3" t="s">
        <v>3</v>
      </c>
      <c r="D631" s="3" t="s">
        <v>36</v>
      </c>
      <c r="E631" s="3" t="s">
        <v>43</v>
      </c>
      <c r="F631" s="3" t="s">
        <v>68</v>
      </c>
      <c r="G631" s="3" t="s">
        <v>45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825</v>
      </c>
      <c r="B632" s="3" t="s">
        <v>60</v>
      </c>
      <c r="C632" s="3" t="s">
        <v>3</v>
      </c>
      <c r="D632" s="3" t="s">
        <v>48</v>
      </c>
      <c r="E632" s="3" t="s">
        <v>37</v>
      </c>
      <c r="F632" s="3" t="s">
        <v>44</v>
      </c>
      <c r="G632" s="3" t="s">
        <v>50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826</v>
      </c>
      <c r="B633" s="3" t="s">
        <v>35</v>
      </c>
      <c r="C633" s="3" t="s">
        <v>3</v>
      </c>
      <c r="D633" s="3" t="s">
        <v>36</v>
      </c>
      <c r="E633" s="3" t="s">
        <v>43</v>
      </c>
      <c r="F633" s="3" t="s">
        <v>68</v>
      </c>
      <c r="G633" s="3" t="s">
        <v>45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3" t="s">
        <v>827</v>
      </c>
      <c r="B634" s="3" t="s">
        <v>166</v>
      </c>
      <c r="C634" s="3" t="s">
        <v>3</v>
      </c>
      <c r="D634" s="3" t="s">
        <v>48</v>
      </c>
      <c r="E634" s="3" t="s">
        <v>43</v>
      </c>
      <c r="F634" s="3" t="s">
        <v>49</v>
      </c>
      <c r="G634" s="3" t="s">
        <v>45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828</v>
      </c>
      <c r="B635" s="3" t="s">
        <v>35</v>
      </c>
      <c r="C635" s="3" t="s">
        <v>3</v>
      </c>
      <c r="D635" s="3" t="s">
        <v>53</v>
      </c>
      <c r="E635" s="3" t="s">
        <v>43</v>
      </c>
      <c r="F635" s="3" t="s">
        <v>65</v>
      </c>
      <c r="G635" s="3" t="s">
        <v>39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829</v>
      </c>
      <c r="B636" s="3" t="s">
        <v>222</v>
      </c>
      <c r="C636" s="3" t="s">
        <v>3</v>
      </c>
      <c r="D636" s="3" t="s">
        <v>48</v>
      </c>
      <c r="E636" s="3" t="s">
        <v>43</v>
      </c>
      <c r="F636" s="3"/>
      <c r="G636" s="3" t="s">
        <v>50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830</v>
      </c>
      <c r="B637" s="3" t="s">
        <v>178</v>
      </c>
      <c r="C637" s="3" t="s">
        <v>3</v>
      </c>
      <c r="D637" s="3" t="s">
        <v>42</v>
      </c>
      <c r="E637" s="3" t="s">
        <v>43</v>
      </c>
      <c r="F637" s="3" t="s">
        <v>44</v>
      </c>
      <c r="G637" s="3" t="s">
        <v>45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831</v>
      </c>
      <c r="B638" s="3" t="s">
        <v>319</v>
      </c>
      <c r="C638" s="3" t="s">
        <v>3</v>
      </c>
      <c r="D638" s="3" t="s">
        <v>42</v>
      </c>
      <c r="E638" s="3" t="s">
        <v>43</v>
      </c>
      <c r="F638" s="3" t="s">
        <v>49</v>
      </c>
      <c r="G638" s="3" t="s">
        <v>50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832</v>
      </c>
      <c r="B639" s="3" t="s">
        <v>271</v>
      </c>
      <c r="C639" s="3" t="s">
        <v>3</v>
      </c>
      <c r="D639" s="3" t="s">
        <v>48</v>
      </c>
      <c r="E639" s="3" t="s">
        <v>37</v>
      </c>
      <c r="F639" s="3" t="s">
        <v>38</v>
      </c>
      <c r="G639" s="3" t="s">
        <v>45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833</v>
      </c>
      <c r="B640" s="3" t="s">
        <v>446</v>
      </c>
      <c r="C640" s="3" t="s">
        <v>3</v>
      </c>
      <c r="D640" s="3" t="s">
        <v>42</v>
      </c>
      <c r="E640" s="3" t="s">
        <v>43</v>
      </c>
      <c r="F640" s="3" t="s">
        <v>49</v>
      </c>
      <c r="G640" s="3" t="s">
        <v>45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834</v>
      </c>
      <c r="B641" s="3" t="s">
        <v>212</v>
      </c>
      <c r="C641" s="3" t="s">
        <v>3</v>
      </c>
      <c r="D641" s="3" t="s">
        <v>48</v>
      </c>
      <c r="E641" s="3" t="s">
        <v>43</v>
      </c>
      <c r="F641" s="3" t="s">
        <v>68</v>
      </c>
      <c r="G641" s="3" t="s">
        <v>39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835</v>
      </c>
      <c r="B642" s="3" t="s">
        <v>222</v>
      </c>
      <c r="C642" s="3" t="s">
        <v>3</v>
      </c>
      <c r="D642" s="3" t="s">
        <v>36</v>
      </c>
      <c r="E642" s="3" t="s">
        <v>43</v>
      </c>
      <c r="F642" s="3" t="s">
        <v>68</v>
      </c>
      <c r="G642" s="3" t="s">
        <v>45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836</v>
      </c>
      <c r="B643" s="3" t="s">
        <v>55</v>
      </c>
      <c r="C643" s="3" t="s">
        <v>3</v>
      </c>
      <c r="D643" s="3" t="s">
        <v>36</v>
      </c>
      <c r="E643" s="3" t="s">
        <v>43</v>
      </c>
      <c r="F643" s="3" t="s">
        <v>44</v>
      </c>
      <c r="G643" s="3" t="s">
        <v>45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837</v>
      </c>
      <c r="B644" s="3" t="s">
        <v>95</v>
      </c>
      <c r="C644" s="3" t="s">
        <v>3</v>
      </c>
      <c r="D644" s="3" t="s">
        <v>36</v>
      </c>
      <c r="E644" s="3" t="s">
        <v>37</v>
      </c>
      <c r="F644" s="3" t="s">
        <v>38</v>
      </c>
      <c r="G644" s="3" t="s">
        <v>39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838</v>
      </c>
      <c r="B645" s="3" t="s">
        <v>340</v>
      </c>
      <c r="C645" s="3" t="s">
        <v>3</v>
      </c>
      <c r="D645" s="3" t="s">
        <v>53</v>
      </c>
      <c r="E645" s="3" t="s">
        <v>37</v>
      </c>
      <c r="F645" s="3" t="s">
        <v>44</v>
      </c>
      <c r="G645" s="3" t="s">
        <v>39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839</v>
      </c>
      <c r="B646" s="3" t="s">
        <v>315</v>
      </c>
      <c r="C646" s="3" t="s">
        <v>3</v>
      </c>
      <c r="D646" s="3" t="s">
        <v>48</v>
      </c>
      <c r="E646" s="3" t="s">
        <v>56</v>
      </c>
      <c r="F646" s="3" t="s">
        <v>44</v>
      </c>
      <c r="G646" s="3" t="s">
        <v>45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840</v>
      </c>
      <c r="B647" s="3" t="s">
        <v>186</v>
      </c>
      <c r="C647" s="3" t="s">
        <v>3</v>
      </c>
      <c r="D647" s="3" t="s">
        <v>48</v>
      </c>
      <c r="E647" s="3" t="s">
        <v>43</v>
      </c>
      <c r="F647" s="3" t="s">
        <v>44</v>
      </c>
      <c r="G647" s="3" t="s">
        <v>45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841</v>
      </c>
      <c r="B648" s="3" t="s">
        <v>73</v>
      </c>
      <c r="C648" s="3" t="s">
        <v>3</v>
      </c>
      <c r="D648" s="3" t="s">
        <v>36</v>
      </c>
      <c r="E648" s="3" t="s">
        <v>37</v>
      </c>
      <c r="F648" s="3" t="s">
        <v>49</v>
      </c>
      <c r="G648" s="3" t="s">
        <v>45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842</v>
      </c>
      <c r="B649" s="3" t="s">
        <v>268</v>
      </c>
      <c r="C649" s="3" t="s">
        <v>3</v>
      </c>
      <c r="D649" s="3" t="s">
        <v>48</v>
      </c>
      <c r="E649" s="3" t="s">
        <v>43</v>
      </c>
      <c r="F649" s="3" t="s">
        <v>44</v>
      </c>
      <c r="G649" s="3" t="s">
        <v>39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843</v>
      </c>
      <c r="B650" s="3" t="s">
        <v>386</v>
      </c>
      <c r="C650" s="3" t="s">
        <v>3</v>
      </c>
      <c r="D650" s="3" t="s">
        <v>36</v>
      </c>
      <c r="E650" s="3" t="s">
        <v>37</v>
      </c>
      <c r="F650" s="3" t="s">
        <v>44</v>
      </c>
      <c r="G650" s="3" t="s">
        <v>50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844</v>
      </c>
      <c r="B651" s="3" t="s">
        <v>276</v>
      </c>
      <c r="C651" s="3" t="s">
        <v>3</v>
      </c>
      <c r="D651" s="3" t="s">
        <v>53</v>
      </c>
      <c r="E651" s="3" t="s">
        <v>43</v>
      </c>
      <c r="F651" s="3" t="s">
        <v>65</v>
      </c>
      <c r="G651" s="3" t="s">
        <v>45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845</v>
      </c>
      <c r="B652" s="3" t="s">
        <v>79</v>
      </c>
      <c r="C652" s="3" t="s">
        <v>3</v>
      </c>
      <c r="D652" s="3" t="s">
        <v>53</v>
      </c>
      <c r="E652" s="3" t="s">
        <v>43</v>
      </c>
      <c r="F652" s="3" t="s">
        <v>65</v>
      </c>
      <c r="G652" s="3" t="s">
        <v>50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846</v>
      </c>
      <c r="B653" s="3" t="s">
        <v>268</v>
      </c>
      <c r="C653" s="3" t="s">
        <v>3</v>
      </c>
      <c r="D653" s="3" t="s">
        <v>42</v>
      </c>
      <c r="E653" s="3" t="s">
        <v>43</v>
      </c>
      <c r="F653" s="3" t="s">
        <v>38</v>
      </c>
      <c r="G653" s="3" t="s">
        <v>50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847</v>
      </c>
      <c r="B654" s="3" t="s">
        <v>116</v>
      </c>
      <c r="C654" s="3" t="s">
        <v>3</v>
      </c>
      <c r="D654" s="3" t="s">
        <v>42</v>
      </c>
      <c r="E654" s="3" t="s">
        <v>43</v>
      </c>
      <c r="F654" s="3" t="s">
        <v>44</v>
      </c>
      <c r="G654" s="3" t="s">
        <v>45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848</v>
      </c>
      <c r="B655" s="3" t="s">
        <v>62</v>
      </c>
      <c r="C655" s="3" t="s">
        <v>3</v>
      </c>
      <c r="D655" s="3" t="s">
        <v>42</v>
      </c>
      <c r="E655" s="3" t="s">
        <v>43</v>
      </c>
      <c r="F655" s="3" t="s">
        <v>65</v>
      </c>
      <c r="G655" s="3" t="s">
        <v>50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849</v>
      </c>
      <c r="B656" s="3" t="s">
        <v>141</v>
      </c>
      <c r="C656" s="3" t="s">
        <v>3</v>
      </c>
      <c r="D656" s="3" t="s">
        <v>42</v>
      </c>
      <c r="E656" s="3" t="s">
        <v>43</v>
      </c>
      <c r="F656" s="3" t="s">
        <v>44</v>
      </c>
      <c r="G656" s="3" t="s">
        <v>45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850</v>
      </c>
      <c r="B657" s="3" t="s">
        <v>334</v>
      </c>
      <c r="C657" s="3" t="s">
        <v>3</v>
      </c>
      <c r="D657" s="3" t="s">
        <v>42</v>
      </c>
      <c r="E657" s="3" t="s">
        <v>43</v>
      </c>
      <c r="F657" s="3" t="s">
        <v>44</v>
      </c>
      <c r="G657" s="3" t="s">
        <v>50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851</v>
      </c>
      <c r="B658" s="3" t="s">
        <v>158</v>
      </c>
      <c r="C658" s="3" t="s">
        <v>3</v>
      </c>
      <c r="D658" s="3" t="s">
        <v>53</v>
      </c>
      <c r="E658" s="3" t="s">
        <v>43</v>
      </c>
      <c r="F658" s="3" t="s">
        <v>44</v>
      </c>
      <c r="G658" s="3" t="s">
        <v>39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852</v>
      </c>
      <c r="B659" s="3" t="s">
        <v>259</v>
      </c>
      <c r="C659" s="3" t="s">
        <v>3</v>
      </c>
      <c r="D659" s="3" t="s">
        <v>53</v>
      </c>
      <c r="E659" s="3" t="s">
        <v>43</v>
      </c>
      <c r="F659" s="3" t="s">
        <v>44</v>
      </c>
      <c r="G659" s="3" t="s">
        <v>39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853</v>
      </c>
      <c r="B660" s="3" t="s">
        <v>166</v>
      </c>
      <c r="C660" s="3" t="s">
        <v>3</v>
      </c>
      <c r="D660" s="3" t="s">
        <v>48</v>
      </c>
      <c r="E660" s="3" t="s">
        <v>43</v>
      </c>
      <c r="F660" s="3" t="s">
        <v>65</v>
      </c>
      <c r="G660" s="3" t="s">
        <v>45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854</v>
      </c>
      <c r="B661" s="3" t="s">
        <v>146</v>
      </c>
      <c r="C661" s="3" t="s">
        <v>3</v>
      </c>
      <c r="D661" s="3" t="s">
        <v>53</v>
      </c>
      <c r="E661" s="3" t="s">
        <v>37</v>
      </c>
      <c r="F661" s="3" t="s">
        <v>68</v>
      </c>
      <c r="G661" s="3" t="s">
        <v>45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855</v>
      </c>
      <c r="B662" s="3" t="s">
        <v>169</v>
      </c>
      <c r="C662" s="3" t="s">
        <v>3</v>
      </c>
      <c r="D662" s="3" t="s">
        <v>53</v>
      </c>
      <c r="E662" s="3" t="s">
        <v>43</v>
      </c>
      <c r="F662" s="3" t="s">
        <v>49</v>
      </c>
      <c r="G662" s="3" t="s">
        <v>45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856</v>
      </c>
      <c r="B663" s="3" t="s">
        <v>209</v>
      </c>
      <c r="C663" s="3" t="s">
        <v>3</v>
      </c>
      <c r="D663" s="3" t="s">
        <v>53</v>
      </c>
      <c r="E663" s="3" t="s">
        <v>43</v>
      </c>
      <c r="F663" s="3" t="s">
        <v>65</v>
      </c>
      <c r="G663" s="3" t="s">
        <v>45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857</v>
      </c>
      <c r="B664" s="3" t="s">
        <v>222</v>
      </c>
      <c r="C664" s="3" t="s">
        <v>3</v>
      </c>
      <c r="D664" s="3" t="s">
        <v>36</v>
      </c>
      <c r="E664" s="3" t="s">
        <v>43</v>
      </c>
      <c r="F664" s="3" t="s">
        <v>49</v>
      </c>
      <c r="G664" s="3" t="s">
        <v>39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858</v>
      </c>
      <c r="B665" s="3" t="s">
        <v>182</v>
      </c>
      <c r="C665" s="3" t="s">
        <v>3</v>
      </c>
      <c r="D665" s="3" t="s">
        <v>36</v>
      </c>
      <c r="E665" s="3" t="s">
        <v>37</v>
      </c>
      <c r="F665" s="3" t="s">
        <v>68</v>
      </c>
      <c r="G665" s="3" t="s">
        <v>39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859</v>
      </c>
      <c r="B666" s="3" t="s">
        <v>62</v>
      </c>
      <c r="C666" s="3" t="s">
        <v>3</v>
      </c>
      <c r="D666" s="3" t="s">
        <v>36</v>
      </c>
      <c r="E666" s="3" t="s">
        <v>37</v>
      </c>
      <c r="F666" s="3" t="s">
        <v>49</v>
      </c>
      <c r="G666" s="3" t="s">
        <v>39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860</v>
      </c>
      <c r="B667" s="3" t="s">
        <v>596</v>
      </c>
      <c r="C667" s="3" t="s">
        <v>3</v>
      </c>
      <c r="D667" s="3" t="s">
        <v>36</v>
      </c>
      <c r="E667" s="3" t="s">
        <v>43</v>
      </c>
      <c r="F667" s="3" t="s">
        <v>49</v>
      </c>
      <c r="G667" s="3" t="s">
        <v>39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861</v>
      </c>
      <c r="B668" s="3" t="s">
        <v>380</v>
      </c>
      <c r="C668" s="3" t="s">
        <v>3</v>
      </c>
      <c r="D668" s="3" t="s">
        <v>48</v>
      </c>
      <c r="E668" s="3" t="s">
        <v>37</v>
      </c>
      <c r="F668" s="3" t="s">
        <v>49</v>
      </c>
      <c r="G668" s="3" t="s">
        <v>50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862</v>
      </c>
      <c r="B669" s="3" t="s">
        <v>239</v>
      </c>
      <c r="C669" s="3" t="s">
        <v>3</v>
      </c>
      <c r="D669" s="3" t="s">
        <v>53</v>
      </c>
      <c r="E669" s="3" t="s">
        <v>43</v>
      </c>
      <c r="F669" s="3" t="s">
        <v>68</v>
      </c>
      <c r="G669" s="3" t="s">
        <v>45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863</v>
      </c>
      <c r="B670" s="3" t="s">
        <v>386</v>
      </c>
      <c r="C670" s="3" t="s">
        <v>3</v>
      </c>
      <c r="D670" s="3" t="s">
        <v>36</v>
      </c>
      <c r="E670" s="3" t="s">
        <v>56</v>
      </c>
      <c r="F670" s="3" t="s">
        <v>68</v>
      </c>
      <c r="G670" s="3" t="s">
        <v>39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864</v>
      </c>
      <c r="B671" s="3" t="s">
        <v>62</v>
      </c>
      <c r="C671" s="3" t="s">
        <v>3</v>
      </c>
      <c r="D671" s="3" t="s">
        <v>36</v>
      </c>
      <c r="E671" s="3" t="s">
        <v>37</v>
      </c>
      <c r="F671" s="3" t="s">
        <v>49</v>
      </c>
      <c r="G671" s="3" t="s">
        <v>39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865</v>
      </c>
      <c r="B672" s="3" t="s">
        <v>70</v>
      </c>
      <c r="C672" s="3" t="s">
        <v>3</v>
      </c>
      <c r="D672" s="3" t="s">
        <v>48</v>
      </c>
      <c r="E672" s="3" t="s">
        <v>37</v>
      </c>
      <c r="F672" s="3" t="s">
        <v>49</v>
      </c>
      <c r="G672" s="3" t="s">
        <v>45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866</v>
      </c>
      <c r="B673" s="3" t="s">
        <v>224</v>
      </c>
      <c r="C673" s="3" t="s">
        <v>3</v>
      </c>
      <c r="D673" s="3" t="s">
        <v>42</v>
      </c>
      <c r="E673" s="3" t="s">
        <v>43</v>
      </c>
      <c r="F673" s="3" t="s">
        <v>65</v>
      </c>
      <c r="G673" s="3" t="s">
        <v>45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867</v>
      </c>
      <c r="B674" s="3" t="s">
        <v>516</v>
      </c>
      <c r="C674" s="3" t="s">
        <v>3</v>
      </c>
      <c r="D674" s="3" t="s">
        <v>42</v>
      </c>
      <c r="E674" s="3"/>
      <c r="F674" s="3" t="s">
        <v>49</v>
      </c>
      <c r="G674" s="3" t="s">
        <v>45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868</v>
      </c>
      <c r="B675" s="3" t="s">
        <v>869</v>
      </c>
      <c r="C675" s="3" t="s">
        <v>3</v>
      </c>
      <c r="D675" s="3" t="s">
        <v>53</v>
      </c>
      <c r="E675" s="3"/>
      <c r="F675" s="3" t="s">
        <v>49</v>
      </c>
      <c r="G675" s="3" t="s">
        <v>45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870</v>
      </c>
      <c r="B676" s="3" t="s">
        <v>271</v>
      </c>
      <c r="C676" s="3" t="s">
        <v>3</v>
      </c>
      <c r="D676" s="3" t="s">
        <v>36</v>
      </c>
      <c r="E676" s="3" t="s">
        <v>37</v>
      </c>
      <c r="F676" s="3" t="s">
        <v>49</v>
      </c>
      <c r="G676" s="3" t="s">
        <v>39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871</v>
      </c>
      <c r="B677" s="3" t="s">
        <v>631</v>
      </c>
      <c r="C677" s="3" t="s">
        <v>3</v>
      </c>
      <c r="D677" s="3" t="s">
        <v>42</v>
      </c>
      <c r="E677" s="3" t="s">
        <v>43</v>
      </c>
      <c r="F677" s="3" t="s">
        <v>49</v>
      </c>
      <c r="G677" s="3" t="s">
        <v>45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872</v>
      </c>
      <c r="B678" s="3" t="s">
        <v>500</v>
      </c>
      <c r="C678" s="3" t="s">
        <v>3</v>
      </c>
      <c r="D678" s="3" t="s">
        <v>42</v>
      </c>
      <c r="E678" s="3" t="s">
        <v>56</v>
      </c>
      <c r="F678" s="3" t="s">
        <v>44</v>
      </c>
      <c r="G678" s="3" t="s">
        <v>45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873</v>
      </c>
      <c r="B679" s="3" t="s">
        <v>178</v>
      </c>
      <c r="C679" s="3" t="s">
        <v>3</v>
      </c>
      <c r="D679" s="3" t="s">
        <v>53</v>
      </c>
      <c r="E679" s="3" t="s">
        <v>43</v>
      </c>
      <c r="F679" s="3" t="s">
        <v>44</v>
      </c>
      <c r="G679" s="3" t="s">
        <v>39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874</v>
      </c>
      <c r="B680" s="3" t="s">
        <v>81</v>
      </c>
      <c r="C680" s="3" t="s">
        <v>3</v>
      </c>
      <c r="D680" s="3" t="s">
        <v>42</v>
      </c>
      <c r="E680" s="3" t="s">
        <v>43</v>
      </c>
      <c r="F680" s="3" t="s">
        <v>68</v>
      </c>
      <c r="G680" s="3" t="s">
        <v>39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875</v>
      </c>
      <c r="B681" s="3" t="s">
        <v>652</v>
      </c>
      <c r="C681" s="3" t="s">
        <v>3</v>
      </c>
      <c r="D681" s="3" t="s">
        <v>36</v>
      </c>
      <c r="E681" s="3" t="s">
        <v>37</v>
      </c>
      <c r="F681" s="3" t="s">
        <v>65</v>
      </c>
      <c r="G681" s="3" t="s">
        <v>50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876</v>
      </c>
      <c r="B682" s="3" t="s">
        <v>271</v>
      </c>
      <c r="C682" s="3" t="s">
        <v>3</v>
      </c>
      <c r="D682" s="3" t="s">
        <v>42</v>
      </c>
      <c r="E682" s="3" t="s">
        <v>37</v>
      </c>
      <c r="F682" s="3" t="s">
        <v>65</v>
      </c>
      <c r="G682" s="3" t="s">
        <v>50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877</v>
      </c>
      <c r="B683" s="3" t="s">
        <v>415</v>
      </c>
      <c r="C683" s="3" t="s">
        <v>3</v>
      </c>
      <c r="D683" s="3" t="s">
        <v>36</v>
      </c>
      <c r="E683" s="3" t="s">
        <v>43</v>
      </c>
      <c r="F683" s="3" t="s">
        <v>44</v>
      </c>
      <c r="G683" s="3" t="s">
        <v>45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878</v>
      </c>
      <c r="B684" s="3" t="s">
        <v>662</v>
      </c>
      <c r="C684" s="3" t="s">
        <v>3</v>
      </c>
      <c r="D684" s="3" t="s">
        <v>48</v>
      </c>
      <c r="E684" s="3" t="s">
        <v>43</v>
      </c>
      <c r="F684" s="3" t="s">
        <v>44</v>
      </c>
      <c r="G684" s="3" t="s">
        <v>39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879</v>
      </c>
      <c r="B685" s="3" t="s">
        <v>578</v>
      </c>
      <c r="C685" s="3" t="s">
        <v>3</v>
      </c>
      <c r="D685" s="3" t="s">
        <v>53</v>
      </c>
      <c r="E685" s="3" t="s">
        <v>37</v>
      </c>
      <c r="F685" s="3" t="s">
        <v>65</v>
      </c>
      <c r="G685" s="3" t="s">
        <v>45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880</v>
      </c>
      <c r="B686" s="3" t="s">
        <v>101</v>
      </c>
      <c r="C686" s="3" t="s">
        <v>3</v>
      </c>
      <c r="D686" s="3" t="s">
        <v>42</v>
      </c>
      <c r="E686" s="3" t="s">
        <v>43</v>
      </c>
      <c r="F686" s="3" t="s">
        <v>44</v>
      </c>
      <c r="G686" s="3" t="s">
        <v>50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881</v>
      </c>
      <c r="B687" s="3" t="s">
        <v>594</v>
      </c>
      <c r="C687" s="3" t="s">
        <v>3</v>
      </c>
      <c r="D687" s="3" t="s">
        <v>53</v>
      </c>
      <c r="E687" s="3" t="s">
        <v>37</v>
      </c>
      <c r="F687" s="3" t="s">
        <v>44</v>
      </c>
      <c r="G687" s="3" t="s">
        <v>45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882</v>
      </c>
      <c r="B688" s="3" t="s">
        <v>75</v>
      </c>
      <c r="C688" s="3" t="s">
        <v>3</v>
      </c>
      <c r="D688" s="3" t="s">
        <v>36</v>
      </c>
      <c r="E688" s="3" t="s">
        <v>43</v>
      </c>
      <c r="F688" s="3" t="s">
        <v>68</v>
      </c>
      <c r="G688" s="3" t="s">
        <v>39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883</v>
      </c>
      <c r="B689" s="3" t="s">
        <v>237</v>
      </c>
      <c r="C689" s="3" t="s">
        <v>3</v>
      </c>
      <c r="D689" s="3" t="s">
        <v>48</v>
      </c>
      <c r="E689" s="3" t="s">
        <v>37</v>
      </c>
      <c r="F689" s="3" t="s">
        <v>49</v>
      </c>
      <c r="G689" s="3" t="s">
        <v>45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884</v>
      </c>
      <c r="B690" s="3" t="s">
        <v>425</v>
      </c>
      <c r="C690" s="3" t="s">
        <v>3</v>
      </c>
      <c r="D690" s="3" t="s">
        <v>36</v>
      </c>
      <c r="E690" s="3" t="s">
        <v>37</v>
      </c>
      <c r="F690" s="3"/>
      <c r="G690" s="3" t="s">
        <v>50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885</v>
      </c>
      <c r="B691" s="3" t="s">
        <v>121</v>
      </c>
      <c r="C691" s="3" t="s">
        <v>3</v>
      </c>
      <c r="D691" s="3" t="s">
        <v>53</v>
      </c>
      <c r="E691" s="3" t="s">
        <v>37</v>
      </c>
      <c r="F691" s="3" t="s">
        <v>44</v>
      </c>
      <c r="G691" s="3" t="s">
        <v>39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886</v>
      </c>
      <c r="B692" s="3" t="s">
        <v>154</v>
      </c>
      <c r="C692" s="3" t="s">
        <v>4</v>
      </c>
      <c r="D692" s="3" t="s">
        <v>48</v>
      </c>
      <c r="E692" s="3" t="s">
        <v>37</v>
      </c>
      <c r="F692" s="3" t="s">
        <v>68</v>
      </c>
      <c r="G692" s="3" t="s">
        <v>39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887</v>
      </c>
      <c r="B693" s="3" t="s">
        <v>116</v>
      </c>
      <c r="C693" s="3" t="s">
        <v>4</v>
      </c>
      <c r="D693" s="3" t="s">
        <v>48</v>
      </c>
      <c r="E693" s="3" t="s">
        <v>37</v>
      </c>
      <c r="F693" s="3" t="s">
        <v>44</v>
      </c>
      <c r="G693" s="3" t="s">
        <v>39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888</v>
      </c>
      <c r="B694" s="3" t="s">
        <v>869</v>
      </c>
      <c r="C694" s="3" t="s">
        <v>4</v>
      </c>
      <c r="D694" s="3" t="s">
        <v>36</v>
      </c>
      <c r="E694" s="3" t="s">
        <v>43</v>
      </c>
      <c r="F694" s="3" t="s">
        <v>44</v>
      </c>
      <c r="G694" s="3" t="s">
        <v>45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889</v>
      </c>
      <c r="B695" s="3" t="s">
        <v>81</v>
      </c>
      <c r="C695" s="3" t="s">
        <v>4</v>
      </c>
      <c r="D695" s="3" t="s">
        <v>36</v>
      </c>
      <c r="E695" s="3" t="s">
        <v>37</v>
      </c>
      <c r="F695" s="3" t="s">
        <v>68</v>
      </c>
      <c r="G695" s="3" t="s">
        <v>45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3" t="s">
        <v>890</v>
      </c>
      <c r="B696" s="3" t="s">
        <v>365</v>
      </c>
      <c r="C696" s="3" t="s">
        <v>4</v>
      </c>
      <c r="D696" s="3" t="s">
        <v>53</v>
      </c>
      <c r="E696" s="3" t="s">
        <v>43</v>
      </c>
      <c r="F696" s="3" t="s">
        <v>49</v>
      </c>
      <c r="G696" s="3" t="s">
        <v>45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891</v>
      </c>
      <c r="B697" s="3" t="s">
        <v>173</v>
      </c>
      <c r="C697" s="3" t="s">
        <v>4</v>
      </c>
      <c r="D697" s="3" t="s">
        <v>48</v>
      </c>
      <c r="E697" s="3" t="s">
        <v>37</v>
      </c>
      <c r="F697" s="3" t="s">
        <v>38</v>
      </c>
      <c r="G697" s="3" t="s">
        <v>45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892</v>
      </c>
      <c r="B698" s="3" t="s">
        <v>425</v>
      </c>
      <c r="C698" s="3" t="s">
        <v>4</v>
      </c>
      <c r="D698" s="3" t="s">
        <v>36</v>
      </c>
      <c r="E698" s="3" t="s">
        <v>43</v>
      </c>
      <c r="F698" s="3" t="s">
        <v>44</v>
      </c>
      <c r="G698" s="3" t="s">
        <v>39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893</v>
      </c>
      <c r="B699" s="3" t="s">
        <v>156</v>
      </c>
      <c r="C699" s="3" t="s">
        <v>4</v>
      </c>
      <c r="D699" s="3" t="s">
        <v>36</v>
      </c>
      <c r="E699" s="3" t="s">
        <v>43</v>
      </c>
      <c r="F699" s="3" t="s">
        <v>68</v>
      </c>
      <c r="G699" s="3" t="s">
        <v>45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894</v>
      </c>
      <c r="B700" s="3" t="s">
        <v>160</v>
      </c>
      <c r="C700" s="3" t="s">
        <v>4</v>
      </c>
      <c r="D700" s="3" t="s">
        <v>42</v>
      </c>
      <c r="E700" s="3" t="s">
        <v>37</v>
      </c>
      <c r="F700" s="3" t="s">
        <v>49</v>
      </c>
      <c r="G700" s="3" t="s">
        <v>50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895</v>
      </c>
      <c r="B701" s="3" t="s">
        <v>182</v>
      </c>
      <c r="C701" s="3" t="s">
        <v>4</v>
      </c>
      <c r="D701" s="3" t="s">
        <v>42</v>
      </c>
      <c r="E701" s="3" t="s">
        <v>37</v>
      </c>
      <c r="F701" s="3" t="s">
        <v>44</v>
      </c>
      <c r="G701" s="3" t="s">
        <v>39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896</v>
      </c>
      <c r="B702" s="3" t="s">
        <v>87</v>
      </c>
      <c r="C702" s="3" t="s">
        <v>4</v>
      </c>
      <c r="D702" s="3" t="s">
        <v>36</v>
      </c>
      <c r="E702" s="3" t="s">
        <v>43</v>
      </c>
      <c r="F702" s="3" t="s">
        <v>44</v>
      </c>
      <c r="G702" s="3" t="s">
        <v>45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897</v>
      </c>
      <c r="B703" s="3" t="s">
        <v>52</v>
      </c>
      <c r="C703" s="3" t="s">
        <v>4</v>
      </c>
      <c r="D703" s="3" t="s">
        <v>53</v>
      </c>
      <c r="E703" s="3" t="s">
        <v>43</v>
      </c>
      <c r="F703" s="3" t="s">
        <v>68</v>
      </c>
      <c r="G703" s="3" t="s">
        <v>45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898</v>
      </c>
      <c r="B704" s="3" t="s">
        <v>79</v>
      </c>
      <c r="C704" s="3" t="s">
        <v>4</v>
      </c>
      <c r="D704" s="3" t="s">
        <v>36</v>
      </c>
      <c r="E704" s="3" t="s">
        <v>43</v>
      </c>
      <c r="F704" s="3" t="s">
        <v>68</v>
      </c>
      <c r="G704" s="3" t="s">
        <v>50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899</v>
      </c>
      <c r="B705" s="3" t="s">
        <v>186</v>
      </c>
      <c r="C705" s="3" t="s">
        <v>4</v>
      </c>
      <c r="D705" s="3" t="s">
        <v>42</v>
      </c>
      <c r="E705" s="3" t="s">
        <v>43</v>
      </c>
      <c r="F705" s="3" t="s">
        <v>38</v>
      </c>
      <c r="G705" s="3" t="s">
        <v>45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900</v>
      </c>
      <c r="B706" s="3" t="s">
        <v>421</v>
      </c>
      <c r="C706" s="3" t="s">
        <v>4</v>
      </c>
      <c r="D706" s="3" t="s">
        <v>53</v>
      </c>
      <c r="E706" s="3" t="s">
        <v>43</v>
      </c>
      <c r="F706" s="3" t="s">
        <v>65</v>
      </c>
      <c r="G706" s="3" t="s">
        <v>39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901</v>
      </c>
      <c r="B707" s="3" t="s">
        <v>259</v>
      </c>
      <c r="C707" s="3" t="s">
        <v>4</v>
      </c>
      <c r="D707" s="3" t="s">
        <v>36</v>
      </c>
      <c r="E707" s="3" t="s">
        <v>43</v>
      </c>
      <c r="F707" s="3" t="s">
        <v>44</v>
      </c>
      <c r="G707" s="3" t="s">
        <v>39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902</v>
      </c>
      <c r="B708" s="3" t="s">
        <v>279</v>
      </c>
      <c r="C708" s="3" t="s">
        <v>4</v>
      </c>
      <c r="D708" s="3" t="s">
        <v>36</v>
      </c>
      <c r="E708" s="3" t="s">
        <v>37</v>
      </c>
      <c r="F708" s="3" t="s">
        <v>44</v>
      </c>
      <c r="G708" s="3" t="s">
        <v>39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false" outlineLevel="0" collapsed="false">
      <c r="A709" s="3" t="s">
        <v>903</v>
      </c>
      <c r="B709" s="3" t="s">
        <v>450</v>
      </c>
      <c r="C709" s="3" t="s">
        <v>4</v>
      </c>
      <c r="D709" s="3" t="s">
        <v>53</v>
      </c>
      <c r="E709" s="3" t="s">
        <v>43</v>
      </c>
      <c r="F709" s="3" t="s">
        <v>38</v>
      </c>
      <c r="G709" s="3" t="s">
        <v>45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904</v>
      </c>
      <c r="B710" s="3" t="s">
        <v>254</v>
      </c>
      <c r="C710" s="3" t="s">
        <v>4</v>
      </c>
      <c r="D710" s="3" t="s">
        <v>53</v>
      </c>
      <c r="E710" s="3" t="s">
        <v>43</v>
      </c>
      <c r="F710" s="3" t="s">
        <v>44</v>
      </c>
      <c r="G710" s="3" t="s">
        <v>39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905</v>
      </c>
      <c r="B711" s="3" t="s">
        <v>197</v>
      </c>
      <c r="C711" s="3" t="s">
        <v>4</v>
      </c>
      <c r="D711" s="3" t="s">
        <v>53</v>
      </c>
      <c r="E711" s="3" t="s">
        <v>43</v>
      </c>
      <c r="F711" s="3" t="s">
        <v>68</v>
      </c>
      <c r="G711" s="3" t="s">
        <v>45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906</v>
      </c>
      <c r="B712" s="3" t="s">
        <v>248</v>
      </c>
      <c r="C712" s="3" t="s">
        <v>4</v>
      </c>
      <c r="D712" s="3" t="s">
        <v>36</v>
      </c>
      <c r="E712" s="3" t="s">
        <v>43</v>
      </c>
      <c r="F712" s="3" t="s">
        <v>65</v>
      </c>
      <c r="G712" s="3" t="s">
        <v>45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907</v>
      </c>
      <c r="B713" s="3" t="s">
        <v>404</v>
      </c>
      <c r="C713" s="3" t="s">
        <v>4</v>
      </c>
      <c r="D713" s="3" t="s">
        <v>36</v>
      </c>
      <c r="E713" s="3" t="s">
        <v>43</v>
      </c>
      <c r="F713" s="3" t="s">
        <v>44</v>
      </c>
      <c r="G713" s="3" t="s">
        <v>39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908</v>
      </c>
      <c r="B714" s="3" t="s">
        <v>199</v>
      </c>
      <c r="C714" s="3" t="s">
        <v>4</v>
      </c>
      <c r="D714" s="3" t="s">
        <v>48</v>
      </c>
      <c r="E714" s="3" t="s">
        <v>43</v>
      </c>
      <c r="F714" s="3" t="s">
        <v>44</v>
      </c>
      <c r="G714" s="3" t="s">
        <v>45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909</v>
      </c>
      <c r="B715" s="3" t="s">
        <v>146</v>
      </c>
      <c r="C715" s="3" t="s">
        <v>4</v>
      </c>
      <c r="D715" s="3" t="s">
        <v>53</v>
      </c>
      <c r="E715" s="3" t="s">
        <v>43</v>
      </c>
      <c r="F715" s="3" t="s">
        <v>65</v>
      </c>
      <c r="G715" s="3" t="s">
        <v>45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910</v>
      </c>
      <c r="B716" s="3" t="s">
        <v>85</v>
      </c>
      <c r="C716" s="3" t="s">
        <v>4</v>
      </c>
      <c r="D716" s="3" t="s">
        <v>53</v>
      </c>
      <c r="E716" s="3" t="s">
        <v>43</v>
      </c>
      <c r="F716" s="3" t="s">
        <v>44</v>
      </c>
      <c r="G716" s="3" t="s">
        <v>45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911</v>
      </c>
      <c r="B717" s="3" t="s">
        <v>365</v>
      </c>
      <c r="C717" s="3" t="s">
        <v>4</v>
      </c>
      <c r="D717" s="3" t="s">
        <v>53</v>
      </c>
      <c r="E717" s="3" t="s">
        <v>43</v>
      </c>
      <c r="F717" s="3" t="s">
        <v>44</v>
      </c>
      <c r="G717" s="3" t="s">
        <v>45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912</v>
      </c>
      <c r="B718" s="3" t="s">
        <v>421</v>
      </c>
      <c r="C718" s="3" t="s">
        <v>4</v>
      </c>
      <c r="D718" s="3" t="s">
        <v>36</v>
      </c>
      <c r="E718" s="3" t="s">
        <v>43</v>
      </c>
      <c r="F718" s="3" t="s">
        <v>49</v>
      </c>
      <c r="G718" s="3" t="s">
        <v>50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913</v>
      </c>
      <c r="B719" s="3" t="s">
        <v>202</v>
      </c>
      <c r="C719" s="3" t="s">
        <v>4</v>
      </c>
      <c r="D719" s="3" t="s">
        <v>42</v>
      </c>
      <c r="E719" s="3" t="s">
        <v>43</v>
      </c>
      <c r="F719" s="3" t="s">
        <v>49</v>
      </c>
      <c r="G719" s="3" t="s">
        <v>39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914</v>
      </c>
      <c r="B720" s="3" t="s">
        <v>47</v>
      </c>
      <c r="C720" s="3" t="s">
        <v>4</v>
      </c>
      <c r="D720" s="3" t="s">
        <v>42</v>
      </c>
      <c r="E720" s="3" t="s">
        <v>43</v>
      </c>
      <c r="F720" s="3" t="s">
        <v>49</v>
      </c>
      <c r="G720" s="3" t="s">
        <v>50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915</v>
      </c>
      <c r="B721" s="3" t="s">
        <v>649</v>
      </c>
      <c r="C721" s="3" t="s">
        <v>4</v>
      </c>
      <c r="D721" s="3" t="s">
        <v>42</v>
      </c>
      <c r="E721" s="3" t="s">
        <v>37</v>
      </c>
      <c r="F721" s="3" t="s">
        <v>38</v>
      </c>
      <c r="G721" s="3" t="s">
        <v>45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916</v>
      </c>
      <c r="B722" s="3" t="s">
        <v>202</v>
      </c>
      <c r="C722" s="3" t="s">
        <v>4</v>
      </c>
      <c r="D722" s="3" t="s">
        <v>48</v>
      </c>
      <c r="E722" s="3" t="s">
        <v>43</v>
      </c>
      <c r="F722" s="3" t="s">
        <v>65</v>
      </c>
      <c r="G722" s="3" t="s">
        <v>39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917</v>
      </c>
      <c r="B723" s="3" t="s">
        <v>52</v>
      </c>
      <c r="C723" s="3" t="s">
        <v>4</v>
      </c>
      <c r="D723" s="3" t="s">
        <v>48</v>
      </c>
      <c r="E723" s="3" t="s">
        <v>37</v>
      </c>
      <c r="F723" s="3" t="s">
        <v>49</v>
      </c>
      <c r="G723" s="3" t="s">
        <v>45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918</v>
      </c>
      <c r="B724" s="3" t="s">
        <v>296</v>
      </c>
      <c r="C724" s="3" t="s">
        <v>4</v>
      </c>
      <c r="D724" s="3" t="s">
        <v>53</v>
      </c>
      <c r="E724" s="3" t="s">
        <v>43</v>
      </c>
      <c r="F724" s="3"/>
      <c r="G724" s="3" t="s">
        <v>45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919</v>
      </c>
      <c r="B725" s="3" t="s">
        <v>246</v>
      </c>
      <c r="C725" s="3" t="s">
        <v>4</v>
      </c>
      <c r="D725" s="3" t="s">
        <v>36</v>
      </c>
      <c r="E725" s="3" t="s">
        <v>43</v>
      </c>
      <c r="F725" s="3" t="s">
        <v>44</v>
      </c>
      <c r="G725" s="3" t="s">
        <v>39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920</v>
      </c>
      <c r="B726" s="3" t="s">
        <v>259</v>
      </c>
      <c r="C726" s="3" t="s">
        <v>4</v>
      </c>
      <c r="D726" s="3" t="s">
        <v>48</v>
      </c>
      <c r="E726" s="3" t="s">
        <v>43</v>
      </c>
      <c r="F726" s="3" t="s">
        <v>49</v>
      </c>
      <c r="G726" s="3" t="s">
        <v>39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921</v>
      </c>
      <c r="B727" s="3" t="s">
        <v>345</v>
      </c>
      <c r="C727" s="3" t="s">
        <v>4</v>
      </c>
      <c r="D727" s="3" t="s">
        <v>48</v>
      </c>
      <c r="E727" s="3" t="s">
        <v>43</v>
      </c>
      <c r="F727" s="3" t="s">
        <v>68</v>
      </c>
      <c r="G727" s="3" t="s">
        <v>45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922</v>
      </c>
      <c r="B728" s="3" t="s">
        <v>212</v>
      </c>
      <c r="C728" s="3" t="s">
        <v>4</v>
      </c>
      <c r="D728" s="3" t="s">
        <v>48</v>
      </c>
      <c r="E728" s="3" t="s">
        <v>37</v>
      </c>
      <c r="F728" s="3" t="s">
        <v>68</v>
      </c>
      <c r="G728" s="3" t="s">
        <v>45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923</v>
      </c>
      <c r="B729" s="3" t="s">
        <v>246</v>
      </c>
      <c r="C729" s="3" t="s">
        <v>4</v>
      </c>
      <c r="D729" s="3" t="s">
        <v>53</v>
      </c>
      <c r="E729" s="3" t="s">
        <v>43</v>
      </c>
      <c r="F729" s="3" t="s">
        <v>49</v>
      </c>
      <c r="G729" s="3" t="s">
        <v>45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924</v>
      </c>
      <c r="B730" s="3" t="s">
        <v>152</v>
      </c>
      <c r="C730" s="3" t="s">
        <v>4</v>
      </c>
      <c r="D730" s="3" t="s">
        <v>53</v>
      </c>
      <c r="E730" s="3" t="s">
        <v>43</v>
      </c>
      <c r="F730" s="3"/>
      <c r="G730" s="3" t="s">
        <v>50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925</v>
      </c>
      <c r="B731" s="3" t="s">
        <v>148</v>
      </c>
      <c r="C731" s="3" t="s">
        <v>4</v>
      </c>
      <c r="D731" s="3" t="s">
        <v>53</v>
      </c>
      <c r="E731" s="3" t="s">
        <v>56</v>
      </c>
      <c r="F731" s="3" t="s">
        <v>49</v>
      </c>
      <c r="G731" s="3" t="s">
        <v>45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926</v>
      </c>
      <c r="B732" s="3" t="s">
        <v>95</v>
      </c>
      <c r="C732" s="3" t="s">
        <v>4</v>
      </c>
      <c r="D732" s="3" t="s">
        <v>48</v>
      </c>
      <c r="E732" s="3" t="s">
        <v>43</v>
      </c>
      <c r="F732" s="3" t="s">
        <v>49</v>
      </c>
      <c r="G732" s="3" t="s">
        <v>39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927</v>
      </c>
      <c r="B733" s="3" t="s">
        <v>279</v>
      </c>
      <c r="C733" s="3" t="s">
        <v>4</v>
      </c>
      <c r="D733" s="3" t="s">
        <v>36</v>
      </c>
      <c r="E733" s="3" t="s">
        <v>43</v>
      </c>
      <c r="F733" s="3" t="s">
        <v>65</v>
      </c>
      <c r="G733" s="3" t="s">
        <v>45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928</v>
      </c>
      <c r="B734" s="3" t="s">
        <v>257</v>
      </c>
      <c r="C734" s="3" t="s">
        <v>4</v>
      </c>
      <c r="D734" s="3" t="s">
        <v>36</v>
      </c>
      <c r="E734" s="3" t="s">
        <v>43</v>
      </c>
      <c r="F734" s="3" t="s">
        <v>65</v>
      </c>
      <c r="G734" s="3" t="s">
        <v>39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929</v>
      </c>
      <c r="B735" s="3" t="s">
        <v>563</v>
      </c>
      <c r="C735" s="3" t="s">
        <v>4</v>
      </c>
      <c r="D735" s="3" t="s">
        <v>48</v>
      </c>
      <c r="E735" s="3" t="s">
        <v>37</v>
      </c>
      <c r="F735" s="3" t="s">
        <v>68</v>
      </c>
      <c r="G735" s="3" t="s">
        <v>50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930</v>
      </c>
      <c r="B736" s="3" t="s">
        <v>131</v>
      </c>
      <c r="C736" s="3" t="s">
        <v>4</v>
      </c>
      <c r="D736" s="3" t="s">
        <v>48</v>
      </c>
      <c r="E736" s="3" t="s">
        <v>37</v>
      </c>
      <c r="F736" s="3" t="s">
        <v>38</v>
      </c>
      <c r="G736" s="3" t="s">
        <v>45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931</v>
      </c>
      <c r="B737" s="3" t="s">
        <v>95</v>
      </c>
      <c r="C737" s="3" t="s">
        <v>4</v>
      </c>
      <c r="D737" s="3" t="s">
        <v>42</v>
      </c>
      <c r="E737" s="3" t="s">
        <v>43</v>
      </c>
      <c r="F737" s="3" t="s">
        <v>49</v>
      </c>
      <c r="G737" s="3" t="s">
        <v>39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932</v>
      </c>
      <c r="B738" s="3" t="s">
        <v>219</v>
      </c>
      <c r="C738" s="3" t="s">
        <v>4</v>
      </c>
      <c r="D738" s="3" t="s">
        <v>42</v>
      </c>
      <c r="E738" s="3" t="s">
        <v>43</v>
      </c>
      <c r="F738" s="3" t="s">
        <v>68</v>
      </c>
      <c r="G738" s="3" t="s">
        <v>39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933</v>
      </c>
      <c r="B739" s="3" t="s">
        <v>268</v>
      </c>
      <c r="C739" s="3" t="s">
        <v>4</v>
      </c>
      <c r="D739" s="3" t="s">
        <v>53</v>
      </c>
      <c r="E739" s="3" t="s">
        <v>43</v>
      </c>
      <c r="F739" s="3" t="s">
        <v>44</v>
      </c>
      <c r="G739" s="3" t="s">
        <v>45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934</v>
      </c>
      <c r="B740" s="3" t="s">
        <v>365</v>
      </c>
      <c r="C740" s="3" t="s">
        <v>4</v>
      </c>
      <c r="D740" s="3" t="s">
        <v>36</v>
      </c>
      <c r="E740" s="3" t="s">
        <v>56</v>
      </c>
      <c r="F740" s="3" t="s">
        <v>68</v>
      </c>
      <c r="G740" s="3" t="s">
        <v>39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935</v>
      </c>
      <c r="B741" s="3" t="s">
        <v>127</v>
      </c>
      <c r="C741" s="3" t="s">
        <v>4</v>
      </c>
      <c r="D741" s="3" t="s">
        <v>36</v>
      </c>
      <c r="E741" s="3" t="s">
        <v>43</v>
      </c>
      <c r="F741" s="3" t="s">
        <v>65</v>
      </c>
      <c r="G741" s="3" t="s">
        <v>45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936</v>
      </c>
      <c r="B742" s="3" t="s">
        <v>319</v>
      </c>
      <c r="C742" s="3" t="s">
        <v>4</v>
      </c>
      <c r="D742" s="3" t="s">
        <v>36</v>
      </c>
      <c r="E742" s="3" t="s">
        <v>37</v>
      </c>
      <c r="F742" s="3"/>
      <c r="G742" s="3" t="s">
        <v>50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937</v>
      </c>
      <c r="B743" s="3" t="s">
        <v>137</v>
      </c>
      <c r="C743" s="3" t="s">
        <v>4</v>
      </c>
      <c r="D743" s="3" t="s">
        <v>36</v>
      </c>
      <c r="E743" s="3" t="s">
        <v>43</v>
      </c>
      <c r="F743" s="3" t="s">
        <v>65</v>
      </c>
      <c r="G743" s="3" t="s">
        <v>45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938</v>
      </c>
      <c r="B744" s="3" t="s">
        <v>73</v>
      </c>
      <c r="C744" s="3" t="s">
        <v>4</v>
      </c>
      <c r="D744" s="3" t="s">
        <v>36</v>
      </c>
      <c r="E744" s="3" t="s">
        <v>43</v>
      </c>
      <c r="F744" s="3" t="s">
        <v>68</v>
      </c>
      <c r="G744" s="3" t="s">
        <v>45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939</v>
      </c>
      <c r="B745" s="3" t="s">
        <v>207</v>
      </c>
      <c r="C745" s="3" t="s">
        <v>4</v>
      </c>
      <c r="D745" s="3" t="s">
        <v>36</v>
      </c>
      <c r="E745" s="3" t="s">
        <v>56</v>
      </c>
      <c r="F745" s="3" t="s">
        <v>49</v>
      </c>
      <c r="G745" s="3" t="s">
        <v>39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940</v>
      </c>
      <c r="B746" s="3" t="s">
        <v>941</v>
      </c>
      <c r="C746" s="3" t="s">
        <v>4</v>
      </c>
      <c r="D746" s="3" t="s">
        <v>48</v>
      </c>
      <c r="E746" s="3" t="s">
        <v>43</v>
      </c>
      <c r="F746" s="3" t="s">
        <v>38</v>
      </c>
      <c r="G746" s="3" t="s">
        <v>45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942</v>
      </c>
      <c r="B747" s="3" t="s">
        <v>135</v>
      </c>
      <c r="C747" s="3" t="s">
        <v>4</v>
      </c>
      <c r="D747" s="3" t="s">
        <v>53</v>
      </c>
      <c r="E747" s="3" t="s">
        <v>37</v>
      </c>
      <c r="F747" s="3" t="s">
        <v>65</v>
      </c>
      <c r="G747" s="3" t="s">
        <v>45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943</v>
      </c>
      <c r="B748" s="3" t="s">
        <v>652</v>
      </c>
      <c r="C748" s="3" t="s">
        <v>4</v>
      </c>
      <c r="D748" s="3" t="s">
        <v>42</v>
      </c>
      <c r="E748" s="3" t="s">
        <v>43</v>
      </c>
      <c r="F748" s="3" t="s">
        <v>65</v>
      </c>
      <c r="G748" s="3" t="s">
        <v>45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944</v>
      </c>
      <c r="B749" s="3" t="s">
        <v>373</v>
      </c>
      <c r="C749" s="3" t="s">
        <v>4</v>
      </c>
      <c r="D749" s="3" t="s">
        <v>36</v>
      </c>
      <c r="E749" s="3" t="s">
        <v>43</v>
      </c>
      <c r="F749" s="3" t="s">
        <v>65</v>
      </c>
      <c r="G749" s="3" t="s">
        <v>45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945</v>
      </c>
      <c r="B750" s="3" t="s">
        <v>322</v>
      </c>
      <c r="C750" s="3" t="s">
        <v>4</v>
      </c>
      <c r="D750" s="3" t="s">
        <v>53</v>
      </c>
      <c r="E750" s="3" t="s">
        <v>37</v>
      </c>
      <c r="F750" s="3" t="s">
        <v>44</v>
      </c>
      <c r="G750" s="3" t="s">
        <v>45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946</v>
      </c>
      <c r="B751" s="3" t="s">
        <v>67</v>
      </c>
      <c r="C751" s="3" t="s">
        <v>4</v>
      </c>
      <c r="D751" s="3" t="s">
        <v>36</v>
      </c>
      <c r="E751" s="3" t="s">
        <v>56</v>
      </c>
      <c r="F751" s="3" t="s">
        <v>44</v>
      </c>
      <c r="G751" s="3" t="s">
        <v>45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947</v>
      </c>
      <c r="B752" s="3" t="s">
        <v>192</v>
      </c>
      <c r="C752" s="3" t="s">
        <v>4</v>
      </c>
      <c r="D752" s="3" t="s">
        <v>53</v>
      </c>
      <c r="E752" s="3" t="s">
        <v>37</v>
      </c>
      <c r="F752" s="3" t="s">
        <v>44</v>
      </c>
      <c r="G752" s="3" t="s">
        <v>39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948</v>
      </c>
      <c r="B753" s="3" t="s">
        <v>229</v>
      </c>
      <c r="C753" s="3" t="s">
        <v>4</v>
      </c>
      <c r="D753" s="3" t="s">
        <v>53</v>
      </c>
      <c r="E753" s="3" t="s">
        <v>43</v>
      </c>
      <c r="F753" s="3" t="s">
        <v>65</v>
      </c>
      <c r="G753" s="3" t="s">
        <v>50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949</v>
      </c>
      <c r="B754" s="3" t="s">
        <v>173</v>
      </c>
      <c r="C754" s="3" t="s">
        <v>4</v>
      </c>
      <c r="D754" s="3" t="s">
        <v>48</v>
      </c>
      <c r="E754" s="3" t="s">
        <v>56</v>
      </c>
      <c r="F754" s="3" t="s">
        <v>44</v>
      </c>
      <c r="G754" s="3" t="s">
        <v>45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950</v>
      </c>
      <c r="B755" s="3" t="s">
        <v>47</v>
      </c>
      <c r="C755" s="3" t="s">
        <v>4</v>
      </c>
      <c r="D755" s="3" t="s">
        <v>48</v>
      </c>
      <c r="E755" s="3" t="s">
        <v>43</v>
      </c>
      <c r="F755" s="3" t="s">
        <v>44</v>
      </c>
      <c r="G755" s="3" t="s">
        <v>45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951</v>
      </c>
      <c r="B756" s="3" t="s">
        <v>144</v>
      </c>
      <c r="C756" s="3" t="s">
        <v>4</v>
      </c>
      <c r="D756" s="3" t="s">
        <v>36</v>
      </c>
      <c r="E756" s="3" t="s">
        <v>56</v>
      </c>
      <c r="F756" s="3" t="s">
        <v>44</v>
      </c>
      <c r="G756" s="3" t="s">
        <v>45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952</v>
      </c>
      <c r="B757" s="3" t="s">
        <v>97</v>
      </c>
      <c r="C757" s="3" t="s">
        <v>4</v>
      </c>
      <c r="D757" s="3" t="s">
        <v>53</v>
      </c>
      <c r="E757" s="3" t="s">
        <v>56</v>
      </c>
      <c r="F757" s="3" t="s">
        <v>65</v>
      </c>
      <c r="G757" s="3" t="s">
        <v>39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953</v>
      </c>
      <c r="B758" s="3" t="s">
        <v>62</v>
      </c>
      <c r="C758" s="3" t="s">
        <v>4</v>
      </c>
      <c r="D758" s="3" t="s">
        <v>48</v>
      </c>
      <c r="E758" s="3" t="s">
        <v>43</v>
      </c>
      <c r="F758" s="3" t="s">
        <v>68</v>
      </c>
      <c r="G758" s="3" t="s">
        <v>45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954</v>
      </c>
      <c r="B759" s="3" t="s">
        <v>116</v>
      </c>
      <c r="C759" s="3" t="s">
        <v>4</v>
      </c>
      <c r="D759" s="3" t="s">
        <v>48</v>
      </c>
      <c r="E759" s="3" t="s">
        <v>56</v>
      </c>
      <c r="F759" s="3" t="s">
        <v>65</v>
      </c>
      <c r="G759" s="3" t="s">
        <v>50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955</v>
      </c>
      <c r="B760" s="3" t="s">
        <v>313</v>
      </c>
      <c r="C760" s="3" t="s">
        <v>4</v>
      </c>
      <c r="D760" s="3" t="s">
        <v>48</v>
      </c>
      <c r="E760" s="3" t="s">
        <v>56</v>
      </c>
      <c r="F760" s="3" t="s">
        <v>44</v>
      </c>
      <c r="G760" s="3" t="s">
        <v>50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956</v>
      </c>
      <c r="B761" s="3" t="s">
        <v>407</v>
      </c>
      <c r="C761" s="3" t="s">
        <v>4</v>
      </c>
      <c r="D761" s="3" t="s">
        <v>42</v>
      </c>
      <c r="E761" s="3" t="s">
        <v>37</v>
      </c>
      <c r="F761" s="3" t="s">
        <v>68</v>
      </c>
      <c r="G761" s="3" t="s">
        <v>45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957</v>
      </c>
      <c r="B762" s="3" t="s">
        <v>285</v>
      </c>
      <c r="C762" s="3" t="s">
        <v>4</v>
      </c>
      <c r="D762" s="3" t="s">
        <v>36</v>
      </c>
      <c r="E762" s="3" t="s">
        <v>43</v>
      </c>
      <c r="F762" s="3" t="s">
        <v>49</v>
      </c>
      <c r="G762" s="3" t="s">
        <v>45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958</v>
      </c>
      <c r="B763" s="3" t="s">
        <v>959</v>
      </c>
      <c r="C763" s="3" t="s">
        <v>4</v>
      </c>
      <c r="D763" s="3" t="s">
        <v>53</v>
      </c>
      <c r="E763" s="3" t="s">
        <v>43</v>
      </c>
      <c r="F763" s="3" t="s">
        <v>49</v>
      </c>
      <c r="G763" s="3" t="s">
        <v>45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3" t="s">
        <v>960</v>
      </c>
      <c r="B764" s="3" t="s">
        <v>216</v>
      </c>
      <c r="C764" s="3" t="s">
        <v>4</v>
      </c>
      <c r="D764" s="3" t="s">
        <v>42</v>
      </c>
      <c r="E764" s="3" t="s">
        <v>37</v>
      </c>
      <c r="F764" s="3" t="s">
        <v>44</v>
      </c>
      <c r="G764" s="3" t="s">
        <v>39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961</v>
      </c>
      <c r="B765" s="3" t="s">
        <v>171</v>
      </c>
      <c r="C765" s="3" t="s">
        <v>4</v>
      </c>
      <c r="D765" s="3" t="s">
        <v>53</v>
      </c>
      <c r="E765" s="3" t="s">
        <v>43</v>
      </c>
      <c r="F765" s="3" t="s">
        <v>68</v>
      </c>
      <c r="G765" s="3" t="s">
        <v>39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962</v>
      </c>
      <c r="B766" s="3" t="s">
        <v>79</v>
      </c>
      <c r="C766" s="3" t="s">
        <v>4</v>
      </c>
      <c r="D766" s="3" t="s">
        <v>53</v>
      </c>
      <c r="E766" s="3" t="s">
        <v>37</v>
      </c>
      <c r="F766" s="3" t="s">
        <v>44</v>
      </c>
      <c r="G766" s="3" t="s">
        <v>39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963</v>
      </c>
      <c r="B767" s="3" t="s">
        <v>178</v>
      </c>
      <c r="C767" s="3" t="s">
        <v>4</v>
      </c>
      <c r="D767" s="3" t="s">
        <v>42</v>
      </c>
      <c r="E767" s="3"/>
      <c r="F767" s="3" t="s">
        <v>38</v>
      </c>
      <c r="G767" s="3" t="s">
        <v>39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964</v>
      </c>
      <c r="B768" s="3" t="s">
        <v>959</v>
      </c>
      <c r="C768" s="3" t="s">
        <v>4</v>
      </c>
      <c r="D768" s="3" t="s">
        <v>36</v>
      </c>
      <c r="E768" s="3" t="s">
        <v>43</v>
      </c>
      <c r="F768" s="3" t="s">
        <v>44</v>
      </c>
      <c r="G768" s="3" t="s">
        <v>45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965</v>
      </c>
      <c r="B769" s="3" t="s">
        <v>188</v>
      </c>
      <c r="C769" s="3" t="s">
        <v>4</v>
      </c>
      <c r="D769" s="3" t="s">
        <v>48</v>
      </c>
      <c r="E769" s="3" t="s">
        <v>43</v>
      </c>
      <c r="F769" s="3" t="s">
        <v>65</v>
      </c>
      <c r="G769" s="3" t="s">
        <v>45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966</v>
      </c>
      <c r="B770" s="3" t="s">
        <v>941</v>
      </c>
      <c r="C770" s="3" t="s">
        <v>4</v>
      </c>
      <c r="D770" s="3" t="s">
        <v>48</v>
      </c>
      <c r="E770" s="3" t="s">
        <v>43</v>
      </c>
      <c r="F770" s="3" t="s">
        <v>68</v>
      </c>
      <c r="G770" s="3" t="s">
        <v>45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967</v>
      </c>
      <c r="B771" s="3" t="s">
        <v>345</v>
      </c>
      <c r="C771" s="3" t="s">
        <v>4</v>
      </c>
      <c r="D771" s="3" t="s">
        <v>53</v>
      </c>
      <c r="E771" s="3" t="s">
        <v>37</v>
      </c>
      <c r="F771" s="3" t="s">
        <v>44</v>
      </c>
      <c r="G771" s="3" t="s">
        <v>50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968</v>
      </c>
      <c r="B772" s="3" t="s">
        <v>354</v>
      </c>
      <c r="C772" s="3" t="s">
        <v>4</v>
      </c>
      <c r="D772" s="3" t="s">
        <v>48</v>
      </c>
      <c r="E772" s="3" t="s">
        <v>37</v>
      </c>
      <c r="F772" s="3" t="s">
        <v>44</v>
      </c>
      <c r="G772" s="3" t="s">
        <v>45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969</v>
      </c>
      <c r="B773" s="3" t="s">
        <v>144</v>
      </c>
      <c r="C773" s="3" t="s">
        <v>4</v>
      </c>
      <c r="D773" s="3" t="s">
        <v>48</v>
      </c>
      <c r="E773" s="3" t="s">
        <v>43</v>
      </c>
      <c r="F773" s="3" t="s">
        <v>65</v>
      </c>
      <c r="G773" s="3" t="s">
        <v>39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970</v>
      </c>
      <c r="B774" s="3" t="s">
        <v>129</v>
      </c>
      <c r="C774" s="3" t="s">
        <v>4</v>
      </c>
      <c r="D774" s="3" t="s">
        <v>48</v>
      </c>
      <c r="E774" s="3" t="s">
        <v>37</v>
      </c>
      <c r="F774" s="3" t="s">
        <v>49</v>
      </c>
      <c r="G774" s="3" t="s">
        <v>45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971</v>
      </c>
      <c r="B775" s="3" t="s">
        <v>144</v>
      </c>
      <c r="C775" s="3" t="s">
        <v>4</v>
      </c>
      <c r="D775" s="3" t="s">
        <v>36</v>
      </c>
      <c r="E775" s="3" t="s">
        <v>37</v>
      </c>
      <c r="F775" s="3" t="s">
        <v>65</v>
      </c>
      <c r="G775" s="3" t="s">
        <v>39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972</v>
      </c>
      <c r="B776" s="3" t="s">
        <v>209</v>
      </c>
      <c r="C776" s="3" t="s">
        <v>4</v>
      </c>
      <c r="D776" s="3" t="s">
        <v>42</v>
      </c>
      <c r="E776" s="3" t="s">
        <v>43</v>
      </c>
      <c r="F776" s="3" t="s">
        <v>68</v>
      </c>
      <c r="G776" s="3" t="s">
        <v>45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973</v>
      </c>
      <c r="B777" s="3" t="s">
        <v>373</v>
      </c>
      <c r="C777" s="3" t="s">
        <v>4</v>
      </c>
      <c r="D777" s="3" t="s">
        <v>36</v>
      </c>
      <c r="E777" s="3" t="s">
        <v>37</v>
      </c>
      <c r="F777" s="3" t="s">
        <v>49</v>
      </c>
      <c r="G777" s="3" t="s">
        <v>45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974</v>
      </c>
      <c r="B778" s="3" t="s">
        <v>252</v>
      </c>
      <c r="C778" s="3" t="s">
        <v>4</v>
      </c>
      <c r="D778" s="3" t="s">
        <v>48</v>
      </c>
      <c r="E778" s="3" t="s">
        <v>37</v>
      </c>
      <c r="F778" s="3" t="s">
        <v>65</v>
      </c>
      <c r="G778" s="3" t="s">
        <v>45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975</v>
      </c>
      <c r="B779" s="3" t="s">
        <v>631</v>
      </c>
      <c r="C779" s="3" t="s">
        <v>4</v>
      </c>
      <c r="D779" s="3" t="s">
        <v>42</v>
      </c>
      <c r="E779" s="3" t="s">
        <v>56</v>
      </c>
      <c r="F779" s="3" t="s">
        <v>49</v>
      </c>
      <c r="G779" s="3" t="s">
        <v>45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976</v>
      </c>
      <c r="B780" s="3" t="s">
        <v>137</v>
      </c>
      <c r="C780" s="3" t="s">
        <v>4</v>
      </c>
      <c r="D780" s="3" t="s">
        <v>53</v>
      </c>
      <c r="E780" s="3" t="s">
        <v>43</v>
      </c>
      <c r="F780" s="3" t="s">
        <v>44</v>
      </c>
      <c r="G780" s="3" t="s">
        <v>45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977</v>
      </c>
      <c r="B781" s="3" t="s">
        <v>563</v>
      </c>
      <c r="C781" s="3" t="s">
        <v>4</v>
      </c>
      <c r="D781" s="3" t="s">
        <v>36</v>
      </c>
      <c r="E781" s="3" t="s">
        <v>43</v>
      </c>
      <c r="F781" s="3" t="s">
        <v>65</v>
      </c>
      <c r="G781" s="3" t="s">
        <v>45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978</v>
      </c>
      <c r="B782" s="3" t="s">
        <v>979</v>
      </c>
      <c r="C782" s="3" t="s">
        <v>4</v>
      </c>
      <c r="D782" s="3" t="s">
        <v>53</v>
      </c>
      <c r="E782" s="3" t="s">
        <v>37</v>
      </c>
      <c r="F782" s="3" t="s">
        <v>49</v>
      </c>
      <c r="G782" s="3" t="s">
        <v>45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980</v>
      </c>
      <c r="B783" s="3" t="s">
        <v>652</v>
      </c>
      <c r="C783" s="3" t="s">
        <v>4</v>
      </c>
      <c r="D783" s="3" t="s">
        <v>36</v>
      </c>
      <c r="E783" s="3" t="s">
        <v>43</v>
      </c>
      <c r="F783" s="3" t="s">
        <v>44</v>
      </c>
      <c r="G783" s="3" t="s">
        <v>39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981</v>
      </c>
      <c r="B784" s="3" t="s">
        <v>156</v>
      </c>
      <c r="C784" s="3" t="s">
        <v>4</v>
      </c>
      <c r="D784" s="3" t="s">
        <v>36</v>
      </c>
      <c r="E784" s="3" t="s">
        <v>56</v>
      </c>
      <c r="F784" s="3" t="s">
        <v>44</v>
      </c>
      <c r="G784" s="3" t="s">
        <v>39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982</v>
      </c>
      <c r="B785" s="3" t="s">
        <v>186</v>
      </c>
      <c r="C785" s="3" t="s">
        <v>4</v>
      </c>
      <c r="D785" s="3" t="s">
        <v>42</v>
      </c>
      <c r="E785" s="3" t="s">
        <v>43</v>
      </c>
      <c r="F785" s="3" t="s">
        <v>65</v>
      </c>
      <c r="G785" s="3" t="s">
        <v>45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983</v>
      </c>
      <c r="B786" s="3" t="s">
        <v>148</v>
      </c>
      <c r="C786" s="3" t="s">
        <v>4</v>
      </c>
      <c r="D786" s="3" t="s">
        <v>36</v>
      </c>
      <c r="E786" s="3" t="s">
        <v>43</v>
      </c>
      <c r="F786" s="3" t="s">
        <v>38</v>
      </c>
      <c r="G786" s="3" t="s">
        <v>39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984</v>
      </c>
      <c r="B787" s="3" t="s">
        <v>415</v>
      </c>
      <c r="C787" s="3" t="s">
        <v>4</v>
      </c>
      <c r="D787" s="3" t="s">
        <v>36</v>
      </c>
      <c r="E787" s="3" t="s">
        <v>37</v>
      </c>
      <c r="F787" s="3" t="s">
        <v>44</v>
      </c>
      <c r="G787" s="3" t="s">
        <v>45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985</v>
      </c>
      <c r="B788" s="3" t="s">
        <v>428</v>
      </c>
      <c r="C788" s="3" t="s">
        <v>4</v>
      </c>
      <c r="D788" s="3" t="s">
        <v>36</v>
      </c>
      <c r="E788" s="3" t="s">
        <v>43</v>
      </c>
      <c r="F788" s="3" t="s">
        <v>44</v>
      </c>
      <c r="G788" s="3" t="s">
        <v>45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986</v>
      </c>
      <c r="B789" s="3" t="s">
        <v>127</v>
      </c>
      <c r="C789" s="3" t="s">
        <v>4</v>
      </c>
      <c r="D789" s="3" t="s">
        <v>36</v>
      </c>
      <c r="E789" s="3" t="s">
        <v>43</v>
      </c>
      <c r="F789" s="3" t="s">
        <v>44</v>
      </c>
      <c r="G789" s="3" t="s">
        <v>45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987</v>
      </c>
      <c r="B790" s="3" t="s">
        <v>77</v>
      </c>
      <c r="C790" s="3" t="s">
        <v>4</v>
      </c>
      <c r="D790" s="3" t="s">
        <v>42</v>
      </c>
      <c r="E790" s="3" t="s">
        <v>43</v>
      </c>
      <c r="F790" s="3" t="s">
        <v>44</v>
      </c>
      <c r="G790" s="3" t="s">
        <v>45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988</v>
      </c>
      <c r="B791" s="3" t="s">
        <v>104</v>
      </c>
      <c r="C791" s="3" t="s">
        <v>4</v>
      </c>
      <c r="D791" s="3" t="s">
        <v>42</v>
      </c>
      <c r="E791" s="3" t="s">
        <v>43</v>
      </c>
      <c r="F791" s="3" t="s">
        <v>44</v>
      </c>
      <c r="G791" s="3" t="s">
        <v>45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989</v>
      </c>
      <c r="B792" s="3" t="s">
        <v>182</v>
      </c>
      <c r="C792" s="3" t="s">
        <v>4</v>
      </c>
      <c r="D792" s="3" t="s">
        <v>42</v>
      </c>
      <c r="E792" s="3" t="s">
        <v>43</v>
      </c>
      <c r="F792" s="3" t="s">
        <v>68</v>
      </c>
      <c r="G792" s="3" t="s">
        <v>50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990</v>
      </c>
      <c r="B793" s="3" t="s">
        <v>268</v>
      </c>
      <c r="C793" s="3" t="s">
        <v>4</v>
      </c>
      <c r="D793" s="3" t="s">
        <v>42</v>
      </c>
      <c r="E793" s="3" t="s">
        <v>43</v>
      </c>
      <c r="F793" s="3" t="s">
        <v>68</v>
      </c>
      <c r="G793" s="3" t="s">
        <v>45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991</v>
      </c>
      <c r="B794" s="3" t="s">
        <v>97</v>
      </c>
      <c r="C794" s="3" t="s">
        <v>4</v>
      </c>
      <c r="D794" s="3" t="s">
        <v>53</v>
      </c>
      <c r="E794" s="3" t="s">
        <v>43</v>
      </c>
      <c r="F794" s="3" t="s">
        <v>44</v>
      </c>
      <c r="G794" s="3" t="s">
        <v>50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992</v>
      </c>
      <c r="B795" s="3" t="s">
        <v>623</v>
      </c>
      <c r="C795" s="3" t="s">
        <v>4</v>
      </c>
      <c r="D795" s="3" t="s">
        <v>36</v>
      </c>
      <c r="E795" s="3" t="s">
        <v>43</v>
      </c>
      <c r="F795" s="3" t="s">
        <v>49</v>
      </c>
      <c r="G795" s="3" t="s">
        <v>50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993</v>
      </c>
      <c r="B796" s="3" t="s">
        <v>296</v>
      </c>
      <c r="C796" s="3" t="s">
        <v>4</v>
      </c>
      <c r="D796" s="3" t="s">
        <v>42</v>
      </c>
      <c r="E796" s="3" t="s">
        <v>37</v>
      </c>
      <c r="F796" s="3" t="s">
        <v>44</v>
      </c>
      <c r="G796" s="3" t="s">
        <v>50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994</v>
      </c>
      <c r="B797" s="3" t="s">
        <v>466</v>
      </c>
      <c r="C797" s="3" t="s">
        <v>4</v>
      </c>
      <c r="D797" s="3" t="s">
        <v>53</v>
      </c>
      <c r="E797" s="3" t="s">
        <v>43</v>
      </c>
      <c r="F797" s="3" t="s">
        <v>44</v>
      </c>
      <c r="G797" s="3" t="s">
        <v>39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995</v>
      </c>
      <c r="B798" s="3" t="s">
        <v>166</v>
      </c>
      <c r="C798" s="3" t="s">
        <v>4</v>
      </c>
      <c r="D798" s="3" t="s">
        <v>42</v>
      </c>
      <c r="E798" s="3" t="s">
        <v>37</v>
      </c>
      <c r="F798" s="3" t="s">
        <v>68</v>
      </c>
      <c r="G798" s="3" t="s">
        <v>45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996</v>
      </c>
      <c r="B799" s="3" t="s">
        <v>97</v>
      </c>
      <c r="C799" s="3" t="s">
        <v>4</v>
      </c>
      <c r="D799" s="3" t="s">
        <v>42</v>
      </c>
      <c r="E799" s="3" t="s">
        <v>43</v>
      </c>
      <c r="F799" s="3" t="s">
        <v>49</v>
      </c>
      <c r="G799" s="3" t="s">
        <v>39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997</v>
      </c>
      <c r="B800" s="3" t="s">
        <v>229</v>
      </c>
      <c r="C800" s="3" t="s">
        <v>4</v>
      </c>
      <c r="D800" s="3" t="s">
        <v>42</v>
      </c>
      <c r="E800" s="3" t="s">
        <v>37</v>
      </c>
      <c r="F800" s="3" t="s">
        <v>49</v>
      </c>
      <c r="G800" s="3" t="s">
        <v>45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998</v>
      </c>
      <c r="B801" s="3" t="s">
        <v>365</v>
      </c>
      <c r="C801" s="3" t="s">
        <v>4</v>
      </c>
      <c r="D801" s="3" t="s">
        <v>42</v>
      </c>
      <c r="E801" s="3" t="s">
        <v>43</v>
      </c>
      <c r="F801" s="3" t="s">
        <v>65</v>
      </c>
      <c r="G801" s="3" t="s">
        <v>45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999</v>
      </c>
      <c r="B802" s="3" t="s">
        <v>125</v>
      </c>
      <c r="C802" s="3" t="s">
        <v>4</v>
      </c>
      <c r="D802" s="3" t="s">
        <v>36</v>
      </c>
      <c r="E802" s="3" t="s">
        <v>37</v>
      </c>
      <c r="F802" s="3" t="s">
        <v>68</v>
      </c>
      <c r="G802" s="3" t="s">
        <v>45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1000</v>
      </c>
      <c r="B803" s="3" t="s">
        <v>457</v>
      </c>
      <c r="C803" s="3" t="s">
        <v>4</v>
      </c>
      <c r="D803" s="3" t="s">
        <v>42</v>
      </c>
      <c r="E803" s="3" t="s">
        <v>43</v>
      </c>
      <c r="F803" s="3" t="s">
        <v>49</v>
      </c>
      <c r="G803" s="3" t="s">
        <v>39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1001</v>
      </c>
      <c r="B804" s="3" t="s">
        <v>79</v>
      </c>
      <c r="C804" s="3" t="s">
        <v>4</v>
      </c>
      <c r="D804" s="3" t="s">
        <v>36</v>
      </c>
      <c r="E804" s="3" t="s">
        <v>37</v>
      </c>
      <c r="F804" s="3" t="s">
        <v>68</v>
      </c>
      <c r="G804" s="3" t="s">
        <v>50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1002</v>
      </c>
      <c r="B805" s="3" t="s">
        <v>173</v>
      </c>
      <c r="C805" s="3" t="s">
        <v>4</v>
      </c>
      <c r="D805" s="3" t="s">
        <v>42</v>
      </c>
      <c r="E805" s="3" t="s">
        <v>43</v>
      </c>
      <c r="F805" s="3" t="s">
        <v>68</v>
      </c>
      <c r="G805" s="3" t="s">
        <v>45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1003</v>
      </c>
      <c r="B806" s="3" t="s">
        <v>47</v>
      </c>
      <c r="C806" s="3" t="s">
        <v>4</v>
      </c>
      <c r="D806" s="3" t="s">
        <v>42</v>
      </c>
      <c r="E806" s="3" t="s">
        <v>37</v>
      </c>
      <c r="F806" s="3" t="s">
        <v>44</v>
      </c>
      <c r="G806" s="3" t="s">
        <v>45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1004</v>
      </c>
      <c r="B807" s="3" t="s">
        <v>457</v>
      </c>
      <c r="C807" s="3" t="s">
        <v>4</v>
      </c>
      <c r="D807" s="3" t="s">
        <v>53</v>
      </c>
      <c r="E807" s="3" t="s">
        <v>56</v>
      </c>
      <c r="F807" s="3" t="s">
        <v>44</v>
      </c>
      <c r="G807" s="3" t="s">
        <v>45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1005</v>
      </c>
      <c r="B808" s="3" t="s">
        <v>131</v>
      </c>
      <c r="C808" s="3" t="s">
        <v>4</v>
      </c>
      <c r="D808" s="3" t="s">
        <v>53</v>
      </c>
      <c r="E808" s="3" t="s">
        <v>37</v>
      </c>
      <c r="F808" s="3" t="s">
        <v>49</v>
      </c>
      <c r="G808" s="3" t="s">
        <v>50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1006</v>
      </c>
      <c r="B809" s="3" t="s">
        <v>162</v>
      </c>
      <c r="C809" s="3" t="s">
        <v>4</v>
      </c>
      <c r="D809" s="3" t="s">
        <v>53</v>
      </c>
      <c r="E809" s="3" t="s">
        <v>56</v>
      </c>
      <c r="F809" s="3" t="s">
        <v>49</v>
      </c>
      <c r="G809" s="3" t="s">
        <v>45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1007</v>
      </c>
      <c r="B810" s="3" t="s">
        <v>296</v>
      </c>
      <c r="C810" s="3" t="s">
        <v>4</v>
      </c>
      <c r="D810" s="3" t="s">
        <v>42</v>
      </c>
      <c r="E810" s="3" t="s">
        <v>43</v>
      </c>
      <c r="F810" s="3" t="s">
        <v>49</v>
      </c>
      <c r="G810" s="3" t="s">
        <v>45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1008</v>
      </c>
      <c r="B811" s="3" t="s">
        <v>959</v>
      </c>
      <c r="C811" s="3" t="s">
        <v>4</v>
      </c>
      <c r="D811" s="3" t="s">
        <v>36</v>
      </c>
      <c r="E811" s="3" t="s">
        <v>43</v>
      </c>
      <c r="F811" s="3" t="s">
        <v>68</v>
      </c>
      <c r="G811" s="3" t="s">
        <v>50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1009</v>
      </c>
      <c r="B812" s="3" t="s">
        <v>184</v>
      </c>
      <c r="C812" s="3" t="s">
        <v>4</v>
      </c>
      <c r="D812" s="3" t="s">
        <v>36</v>
      </c>
      <c r="E812" s="3" t="s">
        <v>43</v>
      </c>
      <c r="F812" s="3" t="s">
        <v>68</v>
      </c>
      <c r="G812" s="3" t="s">
        <v>39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1010</v>
      </c>
      <c r="B813" s="3" t="s">
        <v>276</v>
      </c>
      <c r="C813" s="3" t="s">
        <v>4</v>
      </c>
      <c r="D813" s="3" t="s">
        <v>53</v>
      </c>
      <c r="E813" s="3" t="s">
        <v>37</v>
      </c>
      <c r="F813" s="3" t="s">
        <v>49</v>
      </c>
      <c r="G813" s="3" t="s">
        <v>45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1011</v>
      </c>
      <c r="B814" s="3" t="s">
        <v>386</v>
      </c>
      <c r="C814" s="3" t="s">
        <v>4</v>
      </c>
      <c r="D814" s="3" t="s">
        <v>53</v>
      </c>
      <c r="E814" s="3" t="s">
        <v>43</v>
      </c>
      <c r="F814" s="3" t="s">
        <v>44</v>
      </c>
      <c r="G814" s="3" t="s">
        <v>45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1012</v>
      </c>
      <c r="B815" s="3" t="s">
        <v>404</v>
      </c>
      <c r="C815" s="3" t="s">
        <v>4</v>
      </c>
      <c r="D815" s="3" t="s">
        <v>48</v>
      </c>
      <c r="E815" s="3" t="s">
        <v>43</v>
      </c>
      <c r="F815" s="3" t="s">
        <v>49</v>
      </c>
      <c r="G815" s="3" t="s">
        <v>45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1013</v>
      </c>
      <c r="B816" s="3" t="s">
        <v>89</v>
      </c>
      <c r="C816" s="3" t="s">
        <v>4</v>
      </c>
      <c r="D816" s="3" t="s">
        <v>42</v>
      </c>
      <c r="E816" s="3" t="s">
        <v>56</v>
      </c>
      <c r="F816" s="3" t="s">
        <v>44</v>
      </c>
      <c r="G816" s="3" t="s">
        <v>45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1014</v>
      </c>
      <c r="B817" s="3" t="s">
        <v>662</v>
      </c>
      <c r="C817" s="3" t="s">
        <v>4</v>
      </c>
      <c r="D817" s="3" t="s">
        <v>48</v>
      </c>
      <c r="E817" s="3" t="s">
        <v>37</v>
      </c>
      <c r="F817" s="3" t="s">
        <v>65</v>
      </c>
      <c r="G817" s="3" t="s">
        <v>45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1015</v>
      </c>
      <c r="B818" s="3" t="s">
        <v>123</v>
      </c>
      <c r="C818" s="3" t="s">
        <v>4</v>
      </c>
      <c r="D818" s="3" t="s">
        <v>48</v>
      </c>
      <c r="E818" s="3" t="s">
        <v>43</v>
      </c>
      <c r="F818" s="3" t="s">
        <v>38</v>
      </c>
      <c r="G818" s="3" t="s">
        <v>45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1016</v>
      </c>
      <c r="B819" s="3" t="s">
        <v>285</v>
      </c>
      <c r="C819" s="3" t="s">
        <v>4</v>
      </c>
      <c r="D819" s="3" t="s">
        <v>42</v>
      </c>
      <c r="E819" s="3" t="s">
        <v>56</v>
      </c>
      <c r="F819" s="3" t="s">
        <v>49</v>
      </c>
      <c r="G819" s="3" t="s">
        <v>39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1017</v>
      </c>
      <c r="B820" s="3" t="s">
        <v>152</v>
      </c>
      <c r="C820" s="3" t="s">
        <v>4</v>
      </c>
      <c r="D820" s="3" t="s">
        <v>53</v>
      </c>
      <c r="E820" s="3" t="s">
        <v>43</v>
      </c>
      <c r="F820" s="3" t="s">
        <v>44</v>
      </c>
      <c r="G820" s="3" t="s">
        <v>45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1018</v>
      </c>
      <c r="B821" s="3" t="s">
        <v>106</v>
      </c>
      <c r="C821" s="3" t="s">
        <v>4</v>
      </c>
      <c r="D821" s="3" t="s">
        <v>48</v>
      </c>
      <c r="E821" s="3" t="s">
        <v>43</v>
      </c>
      <c r="F821" s="3" t="s">
        <v>44</v>
      </c>
      <c r="G821" s="3" t="s">
        <v>45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1019</v>
      </c>
      <c r="B822" s="3" t="s">
        <v>41</v>
      </c>
      <c r="C822" s="3" t="s">
        <v>4</v>
      </c>
      <c r="D822" s="3" t="s">
        <v>48</v>
      </c>
      <c r="E822" s="3" t="s">
        <v>37</v>
      </c>
      <c r="F822" s="3" t="s">
        <v>49</v>
      </c>
      <c r="G822" s="3" t="s">
        <v>39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1020</v>
      </c>
      <c r="B823" s="3" t="s">
        <v>446</v>
      </c>
      <c r="C823" s="3" t="s">
        <v>4</v>
      </c>
      <c r="D823" s="3" t="s">
        <v>36</v>
      </c>
      <c r="E823" s="3" t="s">
        <v>43</v>
      </c>
      <c r="F823" s="3" t="s">
        <v>68</v>
      </c>
      <c r="G823" s="3" t="s">
        <v>39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1021</v>
      </c>
      <c r="B824" s="3" t="s">
        <v>246</v>
      </c>
      <c r="C824" s="3" t="s">
        <v>4</v>
      </c>
      <c r="D824" s="3" t="s">
        <v>48</v>
      </c>
      <c r="E824" s="3" t="s">
        <v>37</v>
      </c>
      <c r="F824" s="3" t="s">
        <v>68</v>
      </c>
      <c r="G824" s="3" t="s">
        <v>39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1022</v>
      </c>
      <c r="B825" s="3" t="s">
        <v>649</v>
      </c>
      <c r="C825" s="3" t="s">
        <v>4</v>
      </c>
      <c r="D825" s="3" t="s">
        <v>42</v>
      </c>
      <c r="E825" s="3" t="s">
        <v>43</v>
      </c>
      <c r="F825" s="3" t="s">
        <v>44</v>
      </c>
      <c r="G825" s="3" t="s">
        <v>39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1023</v>
      </c>
      <c r="B826" s="3" t="s">
        <v>192</v>
      </c>
      <c r="C826" s="3" t="s">
        <v>4</v>
      </c>
      <c r="D826" s="3" t="s">
        <v>42</v>
      </c>
      <c r="E826" s="3" t="s">
        <v>43</v>
      </c>
      <c r="F826" s="3" t="s">
        <v>65</v>
      </c>
      <c r="G826" s="3" t="s">
        <v>39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1024</v>
      </c>
      <c r="B827" s="3" t="s">
        <v>93</v>
      </c>
      <c r="C827" s="3" t="s">
        <v>4</v>
      </c>
      <c r="D827" s="3" t="s">
        <v>48</v>
      </c>
      <c r="E827" s="3" t="s">
        <v>37</v>
      </c>
      <c r="F827" s="3" t="s">
        <v>65</v>
      </c>
      <c r="G827" s="3" t="s">
        <v>45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1025</v>
      </c>
      <c r="B828" s="3" t="s">
        <v>229</v>
      </c>
      <c r="C828" s="3" t="s">
        <v>4</v>
      </c>
      <c r="D828" s="3" t="s">
        <v>42</v>
      </c>
      <c r="E828" s="3" t="s">
        <v>43</v>
      </c>
      <c r="F828" s="3" t="s">
        <v>38</v>
      </c>
      <c r="G828" s="3" t="s">
        <v>39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1026</v>
      </c>
      <c r="B829" s="3" t="s">
        <v>578</v>
      </c>
      <c r="C829" s="3" t="s">
        <v>4</v>
      </c>
      <c r="D829" s="3" t="s">
        <v>53</v>
      </c>
      <c r="E829" s="3" t="s">
        <v>37</v>
      </c>
      <c r="F829" s="3" t="s">
        <v>44</v>
      </c>
      <c r="G829" s="3" t="s">
        <v>45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1027</v>
      </c>
      <c r="B830" s="3" t="s">
        <v>365</v>
      </c>
      <c r="C830" s="3" t="s">
        <v>4</v>
      </c>
      <c r="D830" s="3" t="s">
        <v>48</v>
      </c>
      <c r="E830" s="3" t="s">
        <v>43</v>
      </c>
      <c r="F830" s="3" t="s">
        <v>49</v>
      </c>
      <c r="G830" s="3" t="s">
        <v>39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1028</v>
      </c>
      <c r="B831" s="3" t="s">
        <v>47</v>
      </c>
      <c r="C831" s="3" t="s">
        <v>4</v>
      </c>
      <c r="D831" s="3" t="s">
        <v>36</v>
      </c>
      <c r="E831" s="3" t="s">
        <v>43</v>
      </c>
      <c r="F831" s="3" t="s">
        <v>44</v>
      </c>
      <c r="G831" s="3" t="s">
        <v>39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1029</v>
      </c>
      <c r="B832" s="3" t="s">
        <v>169</v>
      </c>
      <c r="C832" s="3" t="s">
        <v>4</v>
      </c>
      <c r="D832" s="3" t="s">
        <v>42</v>
      </c>
      <c r="E832" s="3" t="s">
        <v>37</v>
      </c>
      <c r="F832" s="3" t="s">
        <v>44</v>
      </c>
      <c r="G832" s="3" t="s">
        <v>45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1030</v>
      </c>
      <c r="B833" s="3" t="s">
        <v>466</v>
      </c>
      <c r="C833" s="3" t="s">
        <v>4</v>
      </c>
      <c r="D833" s="3" t="s">
        <v>53</v>
      </c>
      <c r="E833" s="3" t="s">
        <v>56</v>
      </c>
      <c r="F833" s="3" t="s">
        <v>44</v>
      </c>
      <c r="G833" s="3" t="s">
        <v>39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1031</v>
      </c>
      <c r="B834" s="3" t="s">
        <v>158</v>
      </c>
      <c r="C834" s="3" t="s">
        <v>4</v>
      </c>
      <c r="D834" s="3" t="s">
        <v>36</v>
      </c>
      <c r="E834" s="3" t="s">
        <v>37</v>
      </c>
      <c r="F834" s="3" t="s">
        <v>44</v>
      </c>
      <c r="G834" s="3" t="s">
        <v>39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1032</v>
      </c>
      <c r="B835" s="3" t="s">
        <v>428</v>
      </c>
      <c r="C835" s="3" t="s">
        <v>4</v>
      </c>
      <c r="D835" s="3" t="s">
        <v>48</v>
      </c>
      <c r="E835" s="3" t="s">
        <v>43</v>
      </c>
      <c r="F835" s="3" t="s">
        <v>44</v>
      </c>
      <c r="G835" s="3" t="s">
        <v>45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1033</v>
      </c>
      <c r="B836" s="3" t="s">
        <v>87</v>
      </c>
      <c r="C836" s="3" t="s">
        <v>4</v>
      </c>
      <c r="D836" s="3" t="s">
        <v>48</v>
      </c>
      <c r="E836" s="3" t="s">
        <v>43</v>
      </c>
      <c r="F836" s="3" t="s">
        <v>49</v>
      </c>
      <c r="G836" s="3" t="s">
        <v>39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1034</v>
      </c>
      <c r="B837" s="3" t="s">
        <v>139</v>
      </c>
      <c r="C837" s="3" t="s">
        <v>4</v>
      </c>
      <c r="D837" s="3" t="s">
        <v>36</v>
      </c>
      <c r="E837" s="3" t="s">
        <v>37</v>
      </c>
      <c r="F837" s="3" t="s">
        <v>68</v>
      </c>
      <c r="G837" s="3" t="s">
        <v>45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1035</v>
      </c>
      <c r="B838" s="3" t="s">
        <v>47</v>
      </c>
      <c r="C838" s="3" t="s">
        <v>4</v>
      </c>
      <c r="D838" s="3" t="s">
        <v>53</v>
      </c>
      <c r="E838" s="3" t="s">
        <v>43</v>
      </c>
      <c r="F838" s="3" t="s">
        <v>65</v>
      </c>
      <c r="G838" s="3" t="s">
        <v>45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1036</v>
      </c>
      <c r="B839" s="3" t="s">
        <v>428</v>
      </c>
      <c r="C839" s="3" t="s">
        <v>4</v>
      </c>
      <c r="D839" s="3" t="s">
        <v>53</v>
      </c>
      <c r="E839" s="3" t="s">
        <v>43</v>
      </c>
      <c r="F839" s="3" t="s">
        <v>44</v>
      </c>
      <c r="G839" s="3" t="s">
        <v>39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1037</v>
      </c>
      <c r="B840" s="3" t="s">
        <v>345</v>
      </c>
      <c r="C840" s="3" t="s">
        <v>4</v>
      </c>
      <c r="D840" s="3" t="s">
        <v>42</v>
      </c>
      <c r="E840" s="3" t="s">
        <v>43</v>
      </c>
      <c r="F840" s="3" t="s">
        <v>44</v>
      </c>
      <c r="G840" s="3" t="s">
        <v>39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1038</v>
      </c>
      <c r="B841" s="3" t="s">
        <v>184</v>
      </c>
      <c r="C841" s="3" t="s">
        <v>4</v>
      </c>
      <c r="D841" s="3" t="s">
        <v>48</v>
      </c>
      <c r="E841" s="3" t="s">
        <v>43</v>
      </c>
      <c r="F841" s="3" t="s">
        <v>44</v>
      </c>
      <c r="G841" s="3" t="s">
        <v>50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1039</v>
      </c>
      <c r="B842" s="3" t="s">
        <v>474</v>
      </c>
      <c r="C842" s="3" t="s">
        <v>4</v>
      </c>
      <c r="D842" s="3" t="s">
        <v>36</v>
      </c>
      <c r="E842" s="3" t="s">
        <v>43</v>
      </c>
      <c r="F842" s="3" t="s">
        <v>49</v>
      </c>
      <c r="G842" s="3" t="s">
        <v>39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1040</v>
      </c>
      <c r="B843" s="3" t="s">
        <v>596</v>
      </c>
      <c r="C843" s="3" t="s">
        <v>4</v>
      </c>
      <c r="D843" s="3" t="s">
        <v>53</v>
      </c>
      <c r="E843" s="3" t="s">
        <v>43</v>
      </c>
      <c r="F843" s="3" t="s">
        <v>44</v>
      </c>
      <c r="G843" s="3" t="s">
        <v>45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1041</v>
      </c>
      <c r="B844" s="3" t="s">
        <v>464</v>
      </c>
      <c r="C844" s="3" t="s">
        <v>4</v>
      </c>
      <c r="D844" s="3" t="s">
        <v>53</v>
      </c>
      <c r="E844" s="3" t="s">
        <v>43</v>
      </c>
      <c r="F844" s="3" t="s">
        <v>44</v>
      </c>
      <c r="G844" s="3" t="s">
        <v>50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false" outlineLevel="0" collapsed="false">
      <c r="A845" s="3" t="s">
        <v>1042</v>
      </c>
      <c r="B845" s="3" t="s">
        <v>202</v>
      </c>
      <c r="C845" s="3" t="s">
        <v>4</v>
      </c>
      <c r="D845" s="3" t="s">
        <v>53</v>
      </c>
      <c r="E845" s="3" t="s">
        <v>43</v>
      </c>
      <c r="F845" s="3" t="s">
        <v>49</v>
      </c>
      <c r="G845" s="3" t="s">
        <v>50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1043</v>
      </c>
      <c r="B846" s="3" t="s">
        <v>95</v>
      </c>
      <c r="C846" s="3" t="s">
        <v>4</v>
      </c>
      <c r="D846" s="3" t="s">
        <v>42</v>
      </c>
      <c r="E846" s="3" t="s">
        <v>43</v>
      </c>
      <c r="F846" s="3" t="s">
        <v>44</v>
      </c>
      <c r="G846" s="3" t="s">
        <v>39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1044</v>
      </c>
      <c r="B847" s="3" t="s">
        <v>365</v>
      </c>
      <c r="C847" s="3" t="s">
        <v>4</v>
      </c>
      <c r="D847" s="3" t="s">
        <v>36</v>
      </c>
      <c r="E847" s="3" t="s">
        <v>43</v>
      </c>
      <c r="F847" s="3" t="s">
        <v>49</v>
      </c>
      <c r="G847" s="3" t="s">
        <v>39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1045</v>
      </c>
      <c r="B848" s="3" t="s">
        <v>246</v>
      </c>
      <c r="C848" s="3" t="s">
        <v>4</v>
      </c>
      <c r="D848" s="3" t="s">
        <v>48</v>
      </c>
      <c r="E848" s="3" t="s">
        <v>37</v>
      </c>
      <c r="F848" s="3" t="s">
        <v>44</v>
      </c>
      <c r="G848" s="3" t="s">
        <v>45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1046</v>
      </c>
      <c r="B849" s="3" t="s">
        <v>271</v>
      </c>
      <c r="C849" s="3" t="s">
        <v>4</v>
      </c>
      <c r="D849" s="3" t="s">
        <v>53</v>
      </c>
      <c r="E849" s="3" t="s">
        <v>37</v>
      </c>
      <c r="F849" s="3" t="s">
        <v>49</v>
      </c>
      <c r="G849" s="3" t="s">
        <v>45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1047</v>
      </c>
      <c r="B850" s="3" t="s">
        <v>354</v>
      </c>
      <c r="C850" s="3" t="s">
        <v>4</v>
      </c>
      <c r="D850" s="3" t="s">
        <v>53</v>
      </c>
      <c r="E850" s="3" t="s">
        <v>43</v>
      </c>
      <c r="F850" s="3" t="s">
        <v>68</v>
      </c>
      <c r="G850" s="3" t="s">
        <v>39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1048</v>
      </c>
      <c r="B851" s="3" t="s">
        <v>371</v>
      </c>
      <c r="C851" s="3" t="s">
        <v>4</v>
      </c>
      <c r="D851" s="3" t="s">
        <v>48</v>
      </c>
      <c r="E851" s="3" t="s">
        <v>43</v>
      </c>
      <c r="F851" s="3" t="s">
        <v>44</v>
      </c>
      <c r="G851" s="3" t="s">
        <v>45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1049</v>
      </c>
      <c r="B852" s="3" t="s">
        <v>281</v>
      </c>
      <c r="C852" s="3" t="s">
        <v>4</v>
      </c>
      <c r="D852" s="3" t="s">
        <v>48</v>
      </c>
      <c r="E852" s="3" t="s">
        <v>37</v>
      </c>
      <c r="F852" s="3" t="s">
        <v>38</v>
      </c>
      <c r="G852" s="3" t="s">
        <v>45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1050</v>
      </c>
      <c r="B853" s="3" t="s">
        <v>371</v>
      </c>
      <c r="C853" s="3" t="s">
        <v>4</v>
      </c>
      <c r="D853" s="3" t="s">
        <v>36</v>
      </c>
      <c r="E853" s="3" t="s">
        <v>56</v>
      </c>
      <c r="F853" s="3" t="s">
        <v>44</v>
      </c>
      <c r="G853" s="3" t="s">
        <v>39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1051</v>
      </c>
      <c r="B854" s="3" t="s">
        <v>127</v>
      </c>
      <c r="C854" s="3" t="s">
        <v>4</v>
      </c>
      <c r="D854" s="3" t="s">
        <v>36</v>
      </c>
      <c r="E854" s="3" t="s">
        <v>37</v>
      </c>
      <c r="F854" s="3" t="s">
        <v>65</v>
      </c>
      <c r="G854" s="3" t="s">
        <v>39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1052</v>
      </c>
      <c r="B855" s="3" t="s">
        <v>425</v>
      </c>
      <c r="C855" s="3" t="s">
        <v>4</v>
      </c>
      <c r="D855" s="3" t="s">
        <v>36</v>
      </c>
      <c r="E855" s="3" t="s">
        <v>43</v>
      </c>
      <c r="F855" s="3" t="s">
        <v>44</v>
      </c>
      <c r="G855" s="3" t="s">
        <v>45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1053</v>
      </c>
      <c r="B856" s="3" t="s">
        <v>652</v>
      </c>
      <c r="C856" s="3" t="s">
        <v>4</v>
      </c>
      <c r="D856" s="3" t="s">
        <v>36</v>
      </c>
      <c r="E856" s="3" t="s">
        <v>43</v>
      </c>
      <c r="F856" s="3" t="s">
        <v>49</v>
      </c>
      <c r="G856" s="3" t="s">
        <v>45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1054</v>
      </c>
      <c r="B857" s="3" t="s">
        <v>425</v>
      </c>
      <c r="C857" s="3" t="s">
        <v>4</v>
      </c>
      <c r="D857" s="3" t="s">
        <v>36</v>
      </c>
      <c r="E857" s="3" t="s">
        <v>43</v>
      </c>
      <c r="F857" s="3" t="s">
        <v>44</v>
      </c>
      <c r="G857" s="3" t="s">
        <v>39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1055</v>
      </c>
      <c r="B858" s="3" t="s">
        <v>62</v>
      </c>
      <c r="C858" s="3" t="s">
        <v>4</v>
      </c>
      <c r="D858" s="3" t="s">
        <v>53</v>
      </c>
      <c r="E858" s="3" t="s">
        <v>43</v>
      </c>
      <c r="F858" s="3" t="s">
        <v>49</v>
      </c>
      <c r="G858" s="3" t="s">
        <v>50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1056</v>
      </c>
      <c r="B859" s="3" t="s">
        <v>516</v>
      </c>
      <c r="C859" s="3" t="s">
        <v>4</v>
      </c>
      <c r="D859" s="3" t="s">
        <v>42</v>
      </c>
      <c r="E859" s="3" t="s">
        <v>37</v>
      </c>
      <c r="F859" s="3" t="s">
        <v>68</v>
      </c>
      <c r="G859" s="3" t="s">
        <v>45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1057</v>
      </c>
      <c r="B860" s="3" t="s">
        <v>254</v>
      </c>
      <c r="C860" s="3" t="s">
        <v>4</v>
      </c>
      <c r="D860" s="3" t="s">
        <v>36</v>
      </c>
      <c r="E860" s="3" t="s">
        <v>43</v>
      </c>
      <c r="F860" s="3" t="s">
        <v>38</v>
      </c>
      <c r="G860" s="3" t="s">
        <v>39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1058</v>
      </c>
      <c r="B861" s="3" t="s">
        <v>75</v>
      </c>
      <c r="C861" s="3" t="s">
        <v>4</v>
      </c>
      <c r="D861" s="3" t="s">
        <v>53</v>
      </c>
      <c r="E861" s="3" t="s">
        <v>37</v>
      </c>
      <c r="F861" s="3" t="s">
        <v>44</v>
      </c>
      <c r="G861" s="3" t="s">
        <v>39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1059</v>
      </c>
      <c r="B862" s="3" t="s">
        <v>322</v>
      </c>
      <c r="C862" s="3" t="s">
        <v>4</v>
      </c>
      <c r="D862" s="3" t="s">
        <v>48</v>
      </c>
      <c r="E862" s="3" t="s">
        <v>43</v>
      </c>
      <c r="F862" s="3" t="s">
        <v>49</v>
      </c>
      <c r="G862" s="3" t="s">
        <v>45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1060</v>
      </c>
      <c r="B863" s="3" t="s">
        <v>55</v>
      </c>
      <c r="C863" s="3" t="s">
        <v>4</v>
      </c>
      <c r="D863" s="3" t="s">
        <v>48</v>
      </c>
      <c r="E863" s="3" t="s">
        <v>43</v>
      </c>
      <c r="F863" s="3" t="s">
        <v>38</v>
      </c>
      <c r="G863" s="3" t="s">
        <v>45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1061</v>
      </c>
      <c r="B864" s="3" t="s">
        <v>500</v>
      </c>
      <c r="C864" s="3" t="s">
        <v>4</v>
      </c>
      <c r="D864" s="3" t="s">
        <v>53</v>
      </c>
      <c r="E864" s="3" t="s">
        <v>43</v>
      </c>
      <c r="F864" s="3" t="s">
        <v>65</v>
      </c>
      <c r="G864" s="3" t="s">
        <v>39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1062</v>
      </c>
      <c r="B865" s="3" t="s">
        <v>131</v>
      </c>
      <c r="C865" s="3" t="s">
        <v>4</v>
      </c>
      <c r="D865" s="3" t="s">
        <v>36</v>
      </c>
      <c r="E865" s="3" t="s">
        <v>37</v>
      </c>
      <c r="F865" s="3" t="s">
        <v>68</v>
      </c>
      <c r="G865" s="3" t="s">
        <v>45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1063</v>
      </c>
      <c r="B866" s="3" t="s">
        <v>334</v>
      </c>
      <c r="C866" s="3" t="s">
        <v>4</v>
      </c>
      <c r="D866" s="3" t="s">
        <v>36</v>
      </c>
      <c r="E866" s="3" t="s">
        <v>43</v>
      </c>
      <c r="F866" s="3" t="s">
        <v>68</v>
      </c>
      <c r="G866" s="3" t="s">
        <v>39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1064</v>
      </c>
      <c r="B867" s="3" t="s">
        <v>1065</v>
      </c>
      <c r="C867" s="3" t="s">
        <v>4</v>
      </c>
      <c r="D867" s="3" t="s">
        <v>48</v>
      </c>
      <c r="E867" s="3" t="s">
        <v>43</v>
      </c>
      <c r="F867" s="3" t="s">
        <v>49</v>
      </c>
      <c r="G867" s="3" t="s">
        <v>45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1066</v>
      </c>
      <c r="B868" s="3" t="s">
        <v>158</v>
      </c>
      <c r="C868" s="3" t="s">
        <v>4</v>
      </c>
      <c r="D868" s="3" t="s">
        <v>53</v>
      </c>
      <c r="E868" s="3" t="s">
        <v>43</v>
      </c>
      <c r="F868" s="3" t="s">
        <v>65</v>
      </c>
      <c r="G868" s="3" t="s">
        <v>39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1067</v>
      </c>
      <c r="B869" s="3" t="s">
        <v>428</v>
      </c>
      <c r="C869" s="3" t="s">
        <v>4</v>
      </c>
      <c r="D869" s="3" t="s">
        <v>36</v>
      </c>
      <c r="E869" s="3" t="s">
        <v>43</v>
      </c>
      <c r="F869" s="3" t="s">
        <v>68</v>
      </c>
      <c r="G869" s="3" t="s">
        <v>45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1068</v>
      </c>
      <c r="B870" s="3" t="s">
        <v>252</v>
      </c>
      <c r="C870" s="3" t="s">
        <v>4</v>
      </c>
      <c r="D870" s="3" t="s">
        <v>42</v>
      </c>
      <c r="E870" s="3" t="s">
        <v>37</v>
      </c>
      <c r="F870" s="3" t="s">
        <v>44</v>
      </c>
      <c r="G870" s="3" t="s">
        <v>39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1069</v>
      </c>
      <c r="B871" s="3" t="s">
        <v>139</v>
      </c>
      <c r="C871" s="3" t="s">
        <v>4</v>
      </c>
      <c r="D871" s="3" t="s">
        <v>42</v>
      </c>
      <c r="E871" s="3" t="s">
        <v>43</v>
      </c>
      <c r="F871" s="3" t="s">
        <v>44</v>
      </c>
      <c r="G871" s="3" t="s">
        <v>45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1070</v>
      </c>
      <c r="B872" s="3" t="s">
        <v>73</v>
      </c>
      <c r="C872" s="3" t="s">
        <v>4</v>
      </c>
      <c r="D872" s="3" t="s">
        <v>48</v>
      </c>
      <c r="E872" s="3" t="s">
        <v>43</v>
      </c>
      <c r="F872" s="3" t="s">
        <v>44</v>
      </c>
      <c r="G872" s="3" t="s">
        <v>45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1071</v>
      </c>
      <c r="B873" s="3" t="s">
        <v>91</v>
      </c>
      <c r="C873" s="3" t="s">
        <v>4</v>
      </c>
      <c r="D873" s="3" t="s">
        <v>42</v>
      </c>
      <c r="E873" s="3" t="s">
        <v>43</v>
      </c>
      <c r="F873" s="3" t="s">
        <v>44</v>
      </c>
      <c r="G873" s="3" t="s">
        <v>50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1072</v>
      </c>
      <c r="B874" s="3" t="s">
        <v>254</v>
      </c>
      <c r="C874" s="3" t="s">
        <v>4</v>
      </c>
      <c r="D874" s="3" t="s">
        <v>42</v>
      </c>
      <c r="E874" s="3"/>
      <c r="F874" s="3" t="s">
        <v>68</v>
      </c>
      <c r="G874" s="3" t="s">
        <v>45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1073</v>
      </c>
      <c r="B875" s="3" t="s">
        <v>52</v>
      </c>
      <c r="C875" s="3" t="s">
        <v>4</v>
      </c>
      <c r="D875" s="3" t="s">
        <v>42</v>
      </c>
      <c r="E875" s="3" t="s">
        <v>37</v>
      </c>
      <c r="F875" s="3" t="s">
        <v>68</v>
      </c>
      <c r="G875" s="3" t="s">
        <v>45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1074</v>
      </c>
      <c r="B876" s="3" t="s">
        <v>135</v>
      </c>
      <c r="C876" s="3" t="s">
        <v>4</v>
      </c>
      <c r="D876" s="3" t="s">
        <v>53</v>
      </c>
      <c r="E876" s="3" t="s">
        <v>43</v>
      </c>
      <c r="F876" s="3" t="s">
        <v>68</v>
      </c>
      <c r="G876" s="3" t="s">
        <v>39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1075</v>
      </c>
      <c r="B877" s="3" t="s">
        <v>219</v>
      </c>
      <c r="C877" s="3" t="s">
        <v>4</v>
      </c>
      <c r="D877" s="3" t="s">
        <v>42</v>
      </c>
      <c r="E877" s="3" t="s">
        <v>43</v>
      </c>
      <c r="F877" s="3" t="s">
        <v>49</v>
      </c>
      <c r="G877" s="3" t="s">
        <v>45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1076</v>
      </c>
      <c r="B878" s="3" t="s">
        <v>116</v>
      </c>
      <c r="C878" s="3" t="s">
        <v>4</v>
      </c>
      <c r="D878" s="3" t="s">
        <v>48</v>
      </c>
      <c r="E878" s="3" t="s">
        <v>37</v>
      </c>
      <c r="F878" s="3" t="s">
        <v>44</v>
      </c>
      <c r="G878" s="3" t="s">
        <v>50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1077</v>
      </c>
      <c r="B879" s="3" t="s">
        <v>345</v>
      </c>
      <c r="C879" s="3" t="s">
        <v>4</v>
      </c>
      <c r="D879" s="3" t="s">
        <v>53</v>
      </c>
      <c r="E879" s="3" t="s">
        <v>37</v>
      </c>
      <c r="F879" s="3" t="s">
        <v>49</v>
      </c>
      <c r="G879" s="3" t="s">
        <v>45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1078</v>
      </c>
      <c r="B880" s="3" t="s">
        <v>361</v>
      </c>
      <c r="C880" s="3" t="s">
        <v>4</v>
      </c>
      <c r="D880" s="3" t="s">
        <v>42</v>
      </c>
      <c r="E880" s="3" t="s">
        <v>43</v>
      </c>
      <c r="F880" s="3" t="s">
        <v>68</v>
      </c>
      <c r="G880" s="3" t="s">
        <v>39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1079</v>
      </c>
      <c r="B881" s="3" t="s">
        <v>631</v>
      </c>
      <c r="C881" s="3" t="s">
        <v>4</v>
      </c>
      <c r="D881" s="3" t="s">
        <v>48</v>
      </c>
      <c r="E881" s="3" t="s">
        <v>43</v>
      </c>
      <c r="F881" s="3" t="s">
        <v>68</v>
      </c>
      <c r="G881" s="3" t="s">
        <v>39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1080</v>
      </c>
      <c r="B882" s="3" t="s">
        <v>1065</v>
      </c>
      <c r="C882" s="3" t="s">
        <v>4</v>
      </c>
      <c r="D882" s="3" t="s">
        <v>53</v>
      </c>
      <c r="E882" s="3" t="s">
        <v>37</v>
      </c>
      <c r="F882" s="3" t="s">
        <v>68</v>
      </c>
      <c r="G882" s="3" t="s">
        <v>39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1081</v>
      </c>
      <c r="B883" s="3" t="s">
        <v>173</v>
      </c>
      <c r="C883" s="3" t="s">
        <v>4</v>
      </c>
      <c r="D883" s="3" t="s">
        <v>48</v>
      </c>
      <c r="E883" s="3" t="s">
        <v>43</v>
      </c>
      <c r="F883" s="3" t="s">
        <v>49</v>
      </c>
      <c r="G883" s="3" t="s">
        <v>45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1082</v>
      </c>
      <c r="B884" s="3" t="s">
        <v>662</v>
      </c>
      <c r="C884" s="3" t="s">
        <v>4</v>
      </c>
      <c r="D884" s="3" t="s">
        <v>53</v>
      </c>
      <c r="E884" s="3" t="s">
        <v>43</v>
      </c>
      <c r="F884" s="3" t="s">
        <v>44</v>
      </c>
      <c r="G884" s="3" t="s">
        <v>50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1083</v>
      </c>
      <c r="B885" s="3" t="s">
        <v>446</v>
      </c>
      <c r="C885" s="3" t="s">
        <v>4</v>
      </c>
      <c r="D885" s="3" t="s">
        <v>36</v>
      </c>
      <c r="E885" s="3" t="s">
        <v>43</v>
      </c>
      <c r="F885" s="3" t="s">
        <v>38</v>
      </c>
      <c r="G885" s="3" t="s">
        <v>50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1084</v>
      </c>
      <c r="B886" s="3" t="s">
        <v>160</v>
      </c>
      <c r="C886" s="3" t="s">
        <v>4</v>
      </c>
      <c r="D886" s="3" t="s">
        <v>48</v>
      </c>
      <c r="E886" s="3" t="s">
        <v>43</v>
      </c>
      <c r="F886" s="3" t="s">
        <v>68</v>
      </c>
      <c r="G886" s="3" t="s">
        <v>45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1085</v>
      </c>
      <c r="B887" s="3" t="s">
        <v>285</v>
      </c>
      <c r="C887" s="3" t="s">
        <v>4</v>
      </c>
      <c r="D887" s="3" t="s">
        <v>42</v>
      </c>
      <c r="E887" s="3" t="s">
        <v>37</v>
      </c>
      <c r="F887" s="3" t="s">
        <v>65</v>
      </c>
      <c r="G887" s="3" t="s">
        <v>39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1086</v>
      </c>
      <c r="B888" s="3" t="s">
        <v>77</v>
      </c>
      <c r="C888" s="3" t="s">
        <v>4</v>
      </c>
      <c r="D888" s="3" t="s">
        <v>53</v>
      </c>
      <c r="E888" s="3" t="s">
        <v>43</v>
      </c>
      <c r="F888" s="3" t="s">
        <v>38</v>
      </c>
      <c r="G888" s="3" t="s">
        <v>45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1087</v>
      </c>
      <c r="B889" s="3" t="s">
        <v>315</v>
      </c>
      <c r="C889" s="3" t="s">
        <v>4</v>
      </c>
      <c r="D889" s="3" t="s">
        <v>48</v>
      </c>
      <c r="E889" s="3" t="s">
        <v>37</v>
      </c>
      <c r="F889" s="3" t="s">
        <v>38</v>
      </c>
      <c r="G889" s="3" t="s">
        <v>45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1088</v>
      </c>
      <c r="B890" s="3" t="s">
        <v>415</v>
      </c>
      <c r="C890" s="3" t="s">
        <v>4</v>
      </c>
      <c r="D890" s="3" t="s">
        <v>36</v>
      </c>
      <c r="E890" s="3" t="s">
        <v>43</v>
      </c>
      <c r="F890" s="3" t="s">
        <v>65</v>
      </c>
      <c r="G890" s="3" t="s">
        <v>45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1089</v>
      </c>
      <c r="B891" s="3" t="s">
        <v>578</v>
      </c>
      <c r="C891" s="3" t="s">
        <v>4</v>
      </c>
      <c r="D891" s="3" t="s">
        <v>53</v>
      </c>
      <c r="E891" s="3" t="s">
        <v>37</v>
      </c>
      <c r="F891" s="3" t="s">
        <v>49</v>
      </c>
      <c r="G891" s="3" t="s">
        <v>39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1090</v>
      </c>
      <c r="B892" s="3" t="s">
        <v>268</v>
      </c>
      <c r="C892" s="3" t="s">
        <v>4</v>
      </c>
      <c r="D892" s="3" t="s">
        <v>42</v>
      </c>
      <c r="E892" s="3" t="s">
        <v>43</v>
      </c>
      <c r="F892" s="3" t="s">
        <v>38</v>
      </c>
      <c r="G892" s="3" t="s">
        <v>39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1091</v>
      </c>
      <c r="B893" s="3" t="s">
        <v>158</v>
      </c>
      <c r="C893" s="3" t="s">
        <v>4</v>
      </c>
      <c r="D893" s="3" t="s">
        <v>36</v>
      </c>
      <c r="E893" s="3" t="s">
        <v>43</v>
      </c>
      <c r="F893" s="3" t="s">
        <v>44</v>
      </c>
      <c r="G893" s="3" t="s">
        <v>45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1092</v>
      </c>
      <c r="B894" s="3" t="s">
        <v>450</v>
      </c>
      <c r="C894" s="3" t="s">
        <v>4</v>
      </c>
      <c r="D894" s="3" t="s">
        <v>36</v>
      </c>
      <c r="E894" s="3" t="s">
        <v>43</v>
      </c>
      <c r="F894" s="3" t="s">
        <v>38</v>
      </c>
      <c r="G894" s="3" t="s">
        <v>50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1093</v>
      </c>
      <c r="B895" s="3" t="s">
        <v>446</v>
      </c>
      <c r="C895" s="3" t="s">
        <v>4</v>
      </c>
      <c r="D895" s="3" t="s">
        <v>42</v>
      </c>
      <c r="E895" s="3" t="s">
        <v>56</v>
      </c>
      <c r="F895" s="3" t="s">
        <v>49</v>
      </c>
      <c r="G895" s="3" t="s">
        <v>39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1094</v>
      </c>
      <c r="B896" s="3" t="s">
        <v>276</v>
      </c>
      <c r="C896" s="3" t="s">
        <v>4</v>
      </c>
      <c r="D896" s="3" t="s">
        <v>42</v>
      </c>
      <c r="E896" s="3" t="s">
        <v>43</v>
      </c>
      <c r="F896" s="3" t="s">
        <v>65</v>
      </c>
      <c r="G896" s="3" t="s">
        <v>45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1095</v>
      </c>
      <c r="B897" s="3" t="s">
        <v>219</v>
      </c>
      <c r="C897" s="3" t="s">
        <v>4</v>
      </c>
      <c r="D897" s="3" t="s">
        <v>42</v>
      </c>
      <c r="E897" s="3" t="s">
        <v>37</v>
      </c>
      <c r="F897" s="3" t="s">
        <v>49</v>
      </c>
      <c r="G897" s="3" t="s">
        <v>45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1096</v>
      </c>
      <c r="B898" s="3" t="s">
        <v>116</v>
      </c>
      <c r="C898" s="3" t="s">
        <v>4</v>
      </c>
      <c r="D898" s="3" t="s">
        <v>53</v>
      </c>
      <c r="E898" s="3" t="s">
        <v>43</v>
      </c>
      <c r="F898" s="3" t="s">
        <v>49</v>
      </c>
      <c r="G898" s="3" t="s">
        <v>50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1097</v>
      </c>
      <c r="B899" s="3" t="s">
        <v>368</v>
      </c>
      <c r="C899" s="3" t="s">
        <v>4</v>
      </c>
      <c r="D899" s="3" t="s">
        <v>53</v>
      </c>
      <c r="E899" s="3" t="s">
        <v>43</v>
      </c>
      <c r="F899" s="3"/>
      <c r="G899" s="3" t="s">
        <v>45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1098</v>
      </c>
      <c r="B900" s="3" t="s">
        <v>285</v>
      </c>
      <c r="C900" s="3" t="s">
        <v>4</v>
      </c>
      <c r="D900" s="3" t="s">
        <v>53</v>
      </c>
      <c r="E900" s="3" t="s">
        <v>43</v>
      </c>
      <c r="F900" s="3" t="s">
        <v>68</v>
      </c>
      <c r="G900" s="3" t="s">
        <v>45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1099</v>
      </c>
      <c r="B901" s="3" t="s">
        <v>85</v>
      </c>
      <c r="C901" s="3" t="s">
        <v>4</v>
      </c>
      <c r="D901" s="3" t="s">
        <v>36</v>
      </c>
      <c r="E901" s="3" t="s">
        <v>37</v>
      </c>
      <c r="F901" s="3" t="s">
        <v>44</v>
      </c>
      <c r="G901" s="3" t="s">
        <v>39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1100</v>
      </c>
      <c r="B902" s="3" t="s">
        <v>377</v>
      </c>
      <c r="C902" s="3" t="s">
        <v>4</v>
      </c>
      <c r="D902" s="3" t="s">
        <v>53</v>
      </c>
      <c r="E902" s="3" t="s">
        <v>37</v>
      </c>
      <c r="F902" s="3" t="s">
        <v>44</v>
      </c>
      <c r="G902" s="3" t="s">
        <v>45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1101</v>
      </c>
      <c r="B903" s="3" t="s">
        <v>415</v>
      </c>
      <c r="C903" s="3" t="s">
        <v>4</v>
      </c>
      <c r="D903" s="3" t="s">
        <v>42</v>
      </c>
      <c r="E903" s="3" t="s">
        <v>37</v>
      </c>
      <c r="F903" s="3" t="s">
        <v>44</v>
      </c>
      <c r="G903" s="3" t="s">
        <v>50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1102</v>
      </c>
      <c r="B904" s="3" t="s">
        <v>160</v>
      </c>
      <c r="C904" s="3" t="s">
        <v>4</v>
      </c>
      <c r="D904" s="3" t="s">
        <v>53</v>
      </c>
      <c r="E904" s="3" t="s">
        <v>43</v>
      </c>
      <c r="F904" s="3" t="s">
        <v>65</v>
      </c>
      <c r="G904" s="3" t="s">
        <v>45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1103</v>
      </c>
      <c r="B905" s="3" t="s">
        <v>101</v>
      </c>
      <c r="C905" s="3" t="s">
        <v>4</v>
      </c>
      <c r="D905" s="3" t="s">
        <v>36</v>
      </c>
      <c r="E905" s="3" t="s">
        <v>37</v>
      </c>
      <c r="F905" s="3" t="s">
        <v>44</v>
      </c>
      <c r="G905" s="3" t="s">
        <v>45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1104</v>
      </c>
      <c r="B906" s="3" t="s">
        <v>232</v>
      </c>
      <c r="C906" s="3" t="s">
        <v>4</v>
      </c>
      <c r="D906" s="3" t="s">
        <v>53</v>
      </c>
      <c r="E906" s="3" t="s">
        <v>43</v>
      </c>
      <c r="F906" s="3" t="s">
        <v>49</v>
      </c>
      <c r="G906" s="3" t="s">
        <v>45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1105</v>
      </c>
      <c r="B907" s="3" t="s">
        <v>578</v>
      </c>
      <c r="C907" s="3" t="s">
        <v>4</v>
      </c>
      <c r="D907" s="3" t="s">
        <v>48</v>
      </c>
      <c r="E907" s="3" t="s">
        <v>43</v>
      </c>
      <c r="F907" s="3" t="s">
        <v>68</v>
      </c>
      <c r="G907" s="3" t="s">
        <v>45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1106</v>
      </c>
      <c r="B908" s="3" t="s">
        <v>652</v>
      </c>
      <c r="C908" s="3" t="s">
        <v>4</v>
      </c>
      <c r="D908" s="3" t="s">
        <v>42</v>
      </c>
      <c r="E908" s="3" t="s">
        <v>43</v>
      </c>
      <c r="F908" s="3" t="s">
        <v>49</v>
      </c>
      <c r="G908" s="3" t="s">
        <v>45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1107</v>
      </c>
      <c r="B909" s="3" t="s">
        <v>169</v>
      </c>
      <c r="C909" s="3" t="s">
        <v>4</v>
      </c>
      <c r="D909" s="3" t="s">
        <v>42</v>
      </c>
      <c r="E909" s="3" t="s">
        <v>56</v>
      </c>
      <c r="F909" s="3" t="s">
        <v>44</v>
      </c>
      <c r="G909" s="3" t="s">
        <v>39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1108</v>
      </c>
      <c r="B910" s="3" t="s">
        <v>869</v>
      </c>
      <c r="C910" s="3" t="s">
        <v>4</v>
      </c>
      <c r="D910" s="3" t="s">
        <v>42</v>
      </c>
      <c r="E910" s="3" t="s">
        <v>37</v>
      </c>
      <c r="F910" s="3" t="s">
        <v>38</v>
      </c>
      <c r="G910" s="3" t="s">
        <v>45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1109</v>
      </c>
      <c r="B911" s="3" t="s">
        <v>108</v>
      </c>
      <c r="C911" s="3" t="s">
        <v>4</v>
      </c>
      <c r="D911" s="3" t="s">
        <v>36</v>
      </c>
      <c r="E911" s="3" t="s">
        <v>37</v>
      </c>
      <c r="F911" s="3" t="s">
        <v>44</v>
      </c>
      <c r="G911" s="3" t="s">
        <v>39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1110</v>
      </c>
      <c r="B912" s="3" t="s">
        <v>229</v>
      </c>
      <c r="C912" s="3" t="s">
        <v>4</v>
      </c>
      <c r="D912" s="3" t="s">
        <v>36</v>
      </c>
      <c r="E912" s="3" t="s">
        <v>43</v>
      </c>
      <c r="F912" s="3" t="s">
        <v>49</v>
      </c>
      <c r="G912" s="3" t="s">
        <v>45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1111</v>
      </c>
      <c r="B913" s="3" t="s">
        <v>301</v>
      </c>
      <c r="C913" s="3" t="s">
        <v>4</v>
      </c>
      <c r="D913" s="3" t="s">
        <v>48</v>
      </c>
      <c r="E913" s="3" t="s">
        <v>37</v>
      </c>
      <c r="F913" s="3" t="s">
        <v>44</v>
      </c>
      <c r="G913" s="3" t="s">
        <v>39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1112</v>
      </c>
      <c r="B914" s="3" t="s">
        <v>184</v>
      </c>
      <c r="C914" s="3" t="s">
        <v>4</v>
      </c>
      <c r="D914" s="3" t="s">
        <v>36</v>
      </c>
      <c r="E914" s="3" t="s">
        <v>37</v>
      </c>
      <c r="F914" s="3" t="s">
        <v>44</v>
      </c>
      <c r="G914" s="3" t="s">
        <v>39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1113</v>
      </c>
      <c r="B915" s="3" t="s">
        <v>137</v>
      </c>
      <c r="C915" s="3" t="s">
        <v>4</v>
      </c>
      <c r="D915" s="3" t="s">
        <v>53</v>
      </c>
      <c r="E915" s="3" t="s">
        <v>43</v>
      </c>
      <c r="F915" s="3" t="s">
        <v>44</v>
      </c>
      <c r="G915" s="3" t="s">
        <v>45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1114</v>
      </c>
      <c r="B916" s="3" t="s">
        <v>459</v>
      </c>
      <c r="C916" s="3" t="s">
        <v>4</v>
      </c>
      <c r="D916" s="3" t="s">
        <v>48</v>
      </c>
      <c r="E916" s="3" t="s">
        <v>37</v>
      </c>
      <c r="F916" s="3" t="s">
        <v>49</v>
      </c>
      <c r="G916" s="3" t="s">
        <v>45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1115</v>
      </c>
      <c r="B917" s="3" t="s">
        <v>197</v>
      </c>
      <c r="C917" s="3" t="s">
        <v>4</v>
      </c>
      <c r="D917" s="3" t="s">
        <v>53</v>
      </c>
      <c r="E917" s="3" t="s">
        <v>43</v>
      </c>
      <c r="F917" s="3" t="s">
        <v>68</v>
      </c>
      <c r="G917" s="3" t="s">
        <v>45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1116</v>
      </c>
      <c r="B918" s="3" t="s">
        <v>64</v>
      </c>
      <c r="C918" s="3" t="s">
        <v>4</v>
      </c>
      <c r="D918" s="3" t="s">
        <v>42</v>
      </c>
      <c r="E918" s="3" t="s">
        <v>37</v>
      </c>
      <c r="F918" s="3" t="s">
        <v>68</v>
      </c>
      <c r="G918" s="3" t="s">
        <v>39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1117</v>
      </c>
      <c r="B919" s="3" t="s">
        <v>386</v>
      </c>
      <c r="C919" s="3" t="s">
        <v>4</v>
      </c>
      <c r="D919" s="3" t="s">
        <v>53</v>
      </c>
      <c r="E919" s="3" t="s">
        <v>37</v>
      </c>
      <c r="F919" s="3" t="s">
        <v>44</v>
      </c>
      <c r="G919" s="3" t="s">
        <v>39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1118</v>
      </c>
      <c r="B920" s="3" t="s">
        <v>192</v>
      </c>
      <c r="C920" s="3" t="s">
        <v>4</v>
      </c>
      <c r="D920" s="3" t="s">
        <v>48</v>
      </c>
      <c r="E920" s="3" t="s">
        <v>43</v>
      </c>
      <c r="F920" s="3" t="s">
        <v>44</v>
      </c>
      <c r="G920" s="3" t="s">
        <v>39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1119</v>
      </c>
      <c r="B921" s="3" t="s">
        <v>239</v>
      </c>
      <c r="C921" s="3" t="s">
        <v>4</v>
      </c>
      <c r="D921" s="3" t="s">
        <v>53</v>
      </c>
      <c r="E921" s="3" t="s">
        <v>43</v>
      </c>
      <c r="F921" s="3" t="s">
        <v>44</v>
      </c>
      <c r="G921" s="3" t="s">
        <v>45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1120</v>
      </c>
      <c r="B922" s="3" t="s">
        <v>452</v>
      </c>
      <c r="C922" s="3" t="s">
        <v>4</v>
      </c>
      <c r="D922" s="3" t="s">
        <v>42</v>
      </c>
      <c r="E922" s="3" t="s">
        <v>43</v>
      </c>
      <c r="F922" s="3" t="s">
        <v>38</v>
      </c>
      <c r="G922" s="3" t="s">
        <v>45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1121</v>
      </c>
      <c r="B923" s="3" t="s">
        <v>433</v>
      </c>
      <c r="C923" s="3" t="s">
        <v>4</v>
      </c>
      <c r="D923" s="3" t="s">
        <v>42</v>
      </c>
      <c r="E923" s="3" t="s">
        <v>56</v>
      </c>
      <c r="F923" s="3" t="s">
        <v>49</v>
      </c>
      <c r="G923" s="3" t="s">
        <v>45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1122</v>
      </c>
      <c r="B924" s="3" t="s">
        <v>166</v>
      </c>
      <c r="C924" s="3" t="s">
        <v>4</v>
      </c>
      <c r="D924" s="3" t="s">
        <v>36</v>
      </c>
      <c r="E924" s="3" t="s">
        <v>37</v>
      </c>
      <c r="F924" s="3" t="s">
        <v>44</v>
      </c>
      <c r="G924" s="3" t="s">
        <v>45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1123</v>
      </c>
      <c r="B925" s="3" t="s">
        <v>334</v>
      </c>
      <c r="C925" s="3" t="s">
        <v>4</v>
      </c>
      <c r="D925" s="3" t="s">
        <v>42</v>
      </c>
      <c r="E925" s="3" t="s">
        <v>43</v>
      </c>
      <c r="F925" s="3" t="s">
        <v>38</v>
      </c>
      <c r="G925" s="3" t="s">
        <v>39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1124</v>
      </c>
      <c r="B926" s="3" t="s">
        <v>578</v>
      </c>
      <c r="C926" s="3" t="s">
        <v>4</v>
      </c>
      <c r="D926" s="3" t="s">
        <v>48</v>
      </c>
      <c r="E926" s="3" t="s">
        <v>43</v>
      </c>
      <c r="F926" s="3" t="s">
        <v>65</v>
      </c>
      <c r="G926" s="3" t="s">
        <v>45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1125</v>
      </c>
      <c r="B927" s="3" t="s">
        <v>979</v>
      </c>
      <c r="C927" s="3" t="s">
        <v>4</v>
      </c>
      <c r="D927" s="3" t="s">
        <v>48</v>
      </c>
      <c r="E927" s="3" t="s">
        <v>43</v>
      </c>
      <c r="F927" s="3" t="s">
        <v>65</v>
      </c>
      <c r="G927" s="3" t="s">
        <v>45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1126</v>
      </c>
      <c r="B928" s="3" t="s">
        <v>169</v>
      </c>
      <c r="C928" s="3" t="s">
        <v>4</v>
      </c>
      <c r="D928" s="3" t="s">
        <v>36</v>
      </c>
      <c r="E928" s="3" t="s">
        <v>37</v>
      </c>
      <c r="F928" s="3" t="s">
        <v>49</v>
      </c>
      <c r="G928" s="3" t="s">
        <v>45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1127</v>
      </c>
      <c r="B929" s="3" t="s">
        <v>75</v>
      </c>
      <c r="C929" s="3" t="s">
        <v>4</v>
      </c>
      <c r="D929" s="3" t="s">
        <v>36</v>
      </c>
      <c r="E929" s="3" t="s">
        <v>37</v>
      </c>
      <c r="F929" s="3" t="s">
        <v>44</v>
      </c>
      <c r="G929" s="3" t="s">
        <v>45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1128</v>
      </c>
      <c r="B930" s="3" t="s">
        <v>229</v>
      </c>
      <c r="C930" s="3" t="s">
        <v>4</v>
      </c>
      <c r="D930" s="3" t="s">
        <v>53</v>
      </c>
      <c r="E930" s="3" t="s">
        <v>37</v>
      </c>
      <c r="F930" s="3" t="s">
        <v>65</v>
      </c>
      <c r="G930" s="3" t="s">
        <v>39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1129</v>
      </c>
      <c r="B931" s="3" t="s">
        <v>197</v>
      </c>
      <c r="C931" s="3" t="s">
        <v>4</v>
      </c>
      <c r="D931" s="3" t="s">
        <v>53</v>
      </c>
      <c r="E931" s="3" t="s">
        <v>43</v>
      </c>
      <c r="F931" s="3" t="s">
        <v>44</v>
      </c>
      <c r="G931" s="3" t="s">
        <v>45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1130</v>
      </c>
      <c r="B932" s="3" t="s">
        <v>123</v>
      </c>
      <c r="C932" s="3" t="s">
        <v>4</v>
      </c>
      <c r="D932" s="3" t="s">
        <v>48</v>
      </c>
      <c r="E932" s="3" t="s">
        <v>37</v>
      </c>
      <c r="F932" s="3" t="s">
        <v>65</v>
      </c>
      <c r="G932" s="3" t="s">
        <v>45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1131</v>
      </c>
      <c r="B933" s="3" t="s">
        <v>178</v>
      </c>
      <c r="C933" s="3" t="s">
        <v>4</v>
      </c>
      <c r="D933" s="3" t="s">
        <v>48</v>
      </c>
      <c r="E933" s="3" t="s">
        <v>37</v>
      </c>
      <c r="F933" s="3" t="s">
        <v>49</v>
      </c>
      <c r="G933" s="3" t="s">
        <v>50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1132</v>
      </c>
      <c r="B934" s="3" t="s">
        <v>979</v>
      </c>
      <c r="C934" s="3" t="s">
        <v>4</v>
      </c>
      <c r="D934" s="3" t="s">
        <v>42</v>
      </c>
      <c r="E934" s="3" t="s">
        <v>37</v>
      </c>
      <c r="F934" s="3" t="s">
        <v>49</v>
      </c>
      <c r="G934" s="3" t="s">
        <v>50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1133</v>
      </c>
      <c r="B935" s="3" t="s">
        <v>205</v>
      </c>
      <c r="C935" s="3" t="s">
        <v>4</v>
      </c>
      <c r="D935" s="3" t="s">
        <v>42</v>
      </c>
      <c r="E935" s="3" t="s">
        <v>37</v>
      </c>
      <c r="F935" s="3" t="s">
        <v>44</v>
      </c>
      <c r="G935" s="3" t="s">
        <v>45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1134</v>
      </c>
      <c r="B936" s="3" t="s">
        <v>869</v>
      </c>
      <c r="C936" s="3" t="s">
        <v>4</v>
      </c>
      <c r="D936" s="3" t="s">
        <v>48</v>
      </c>
      <c r="E936" s="3" t="s">
        <v>43</v>
      </c>
      <c r="F936" s="3" t="s">
        <v>44</v>
      </c>
      <c r="G936" s="3" t="s">
        <v>39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1135</v>
      </c>
      <c r="B937" s="3" t="s">
        <v>313</v>
      </c>
      <c r="C937" s="3" t="s">
        <v>4</v>
      </c>
      <c r="D937" s="3" t="s">
        <v>53</v>
      </c>
      <c r="E937" s="3" t="s">
        <v>43</v>
      </c>
      <c r="F937" s="3" t="s">
        <v>49</v>
      </c>
      <c r="G937" s="3" t="s">
        <v>39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1136</v>
      </c>
      <c r="B938" s="3" t="s">
        <v>192</v>
      </c>
      <c r="C938" s="3" t="s">
        <v>4</v>
      </c>
      <c r="D938" s="3" t="s">
        <v>53</v>
      </c>
      <c r="E938" s="3" t="s">
        <v>37</v>
      </c>
      <c r="F938" s="3"/>
      <c r="G938" s="3" t="s">
        <v>39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1137</v>
      </c>
      <c r="B939" s="3" t="s">
        <v>377</v>
      </c>
      <c r="C939" s="3" t="s">
        <v>4</v>
      </c>
      <c r="D939" s="3" t="s">
        <v>48</v>
      </c>
      <c r="E939" s="3" t="s">
        <v>43</v>
      </c>
      <c r="F939" s="3" t="s">
        <v>49</v>
      </c>
      <c r="G939" s="3" t="s">
        <v>45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1138</v>
      </c>
      <c r="B940" s="3" t="s">
        <v>279</v>
      </c>
      <c r="C940" s="3" t="s">
        <v>4</v>
      </c>
      <c r="D940" s="3" t="s">
        <v>36</v>
      </c>
      <c r="E940" s="3" t="s">
        <v>37</v>
      </c>
      <c r="F940" s="3" t="s">
        <v>38</v>
      </c>
      <c r="G940" s="3" t="s">
        <v>50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1139</v>
      </c>
      <c r="B941" s="3" t="s">
        <v>83</v>
      </c>
      <c r="C941" s="3" t="s">
        <v>4</v>
      </c>
      <c r="D941" s="3" t="s">
        <v>42</v>
      </c>
      <c r="E941" s="3" t="s">
        <v>43</v>
      </c>
      <c r="F941" s="3" t="s">
        <v>44</v>
      </c>
      <c r="G941" s="3" t="s">
        <v>50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1140</v>
      </c>
      <c r="B942" s="3" t="s">
        <v>979</v>
      </c>
      <c r="C942" s="3" t="s">
        <v>4</v>
      </c>
      <c r="D942" s="3" t="s">
        <v>48</v>
      </c>
      <c r="E942" s="3" t="s">
        <v>43</v>
      </c>
      <c r="F942" s="3" t="s">
        <v>38</v>
      </c>
      <c r="G942" s="3" t="s">
        <v>45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1141</v>
      </c>
      <c r="B943" s="3" t="s">
        <v>530</v>
      </c>
      <c r="C943" s="3" t="s">
        <v>4</v>
      </c>
      <c r="D943" s="3" t="s">
        <v>53</v>
      </c>
      <c r="E943" s="3" t="s">
        <v>43</v>
      </c>
      <c r="F943" s="3" t="s">
        <v>44</v>
      </c>
      <c r="G943" s="3" t="s">
        <v>39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1142</v>
      </c>
      <c r="B944" s="3" t="s">
        <v>152</v>
      </c>
      <c r="C944" s="3" t="s">
        <v>4</v>
      </c>
      <c r="D944" s="3" t="s">
        <v>53</v>
      </c>
      <c r="E944" s="3" t="s">
        <v>43</v>
      </c>
      <c r="F944" s="3" t="s">
        <v>49</v>
      </c>
      <c r="G944" s="3" t="s">
        <v>45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1143</v>
      </c>
      <c r="B945" s="3" t="s">
        <v>97</v>
      </c>
      <c r="C945" s="3" t="s">
        <v>4</v>
      </c>
      <c r="D945" s="3" t="s">
        <v>53</v>
      </c>
      <c r="E945" s="3" t="s">
        <v>43</v>
      </c>
      <c r="F945" s="3" t="s">
        <v>65</v>
      </c>
      <c r="G945" s="3" t="s">
        <v>50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1144</v>
      </c>
      <c r="B946" s="3" t="s">
        <v>276</v>
      </c>
      <c r="C946" s="3" t="s">
        <v>4</v>
      </c>
      <c r="D946" s="3" t="s">
        <v>42</v>
      </c>
      <c r="E946" s="3" t="s">
        <v>43</v>
      </c>
      <c r="F946" s="3" t="s">
        <v>44</v>
      </c>
      <c r="G946" s="3" t="s">
        <v>39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1145</v>
      </c>
      <c r="B947" s="3" t="s">
        <v>281</v>
      </c>
      <c r="C947" s="3" t="s">
        <v>4</v>
      </c>
      <c r="D947" s="3" t="s">
        <v>53</v>
      </c>
      <c r="E947" s="3" t="s">
        <v>43</v>
      </c>
      <c r="F947" s="3" t="s">
        <v>44</v>
      </c>
      <c r="G947" s="3" t="s">
        <v>45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1146</v>
      </c>
      <c r="B948" s="3" t="s">
        <v>108</v>
      </c>
      <c r="C948" s="3" t="s">
        <v>4</v>
      </c>
      <c r="D948" s="3" t="s">
        <v>36</v>
      </c>
      <c r="E948" s="3" t="s">
        <v>43</v>
      </c>
      <c r="F948" s="3" t="s">
        <v>68</v>
      </c>
      <c r="G948" s="3" t="s">
        <v>39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1147</v>
      </c>
      <c r="B949" s="3" t="s">
        <v>209</v>
      </c>
      <c r="C949" s="3" t="s">
        <v>4</v>
      </c>
      <c r="D949" s="3" t="s">
        <v>48</v>
      </c>
      <c r="E949" s="3" t="s">
        <v>43</v>
      </c>
      <c r="F949" s="3" t="s">
        <v>49</v>
      </c>
      <c r="G949" s="3" t="s">
        <v>45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1148</v>
      </c>
      <c r="B950" s="3" t="s">
        <v>594</v>
      </c>
      <c r="C950" s="3" t="s">
        <v>4</v>
      </c>
      <c r="D950" s="3" t="s">
        <v>36</v>
      </c>
      <c r="E950" s="3" t="s">
        <v>43</v>
      </c>
      <c r="F950" s="3" t="s">
        <v>44</v>
      </c>
      <c r="G950" s="3" t="s">
        <v>45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1149</v>
      </c>
      <c r="B951" s="3" t="s">
        <v>313</v>
      </c>
      <c r="C951" s="3" t="s">
        <v>4</v>
      </c>
      <c r="D951" s="3" t="s">
        <v>53</v>
      </c>
      <c r="E951" s="3" t="s">
        <v>37</v>
      </c>
      <c r="F951" s="3" t="s">
        <v>49</v>
      </c>
      <c r="G951" s="3" t="s">
        <v>45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1150</v>
      </c>
      <c r="B952" s="3" t="s">
        <v>319</v>
      </c>
      <c r="C952" s="3" t="s">
        <v>4</v>
      </c>
      <c r="D952" s="3" t="s">
        <v>42</v>
      </c>
      <c r="E952" s="3" t="s">
        <v>37</v>
      </c>
      <c r="F952" s="3" t="s">
        <v>49</v>
      </c>
      <c r="G952" s="3" t="s">
        <v>39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1151</v>
      </c>
      <c r="B953" s="3" t="s">
        <v>89</v>
      </c>
      <c r="C953" s="3" t="s">
        <v>4</v>
      </c>
      <c r="D953" s="3" t="s">
        <v>42</v>
      </c>
      <c r="E953" s="3" t="s">
        <v>43</v>
      </c>
      <c r="F953" s="3"/>
      <c r="G953" s="3" t="s">
        <v>50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1152</v>
      </c>
      <c r="B954" s="3" t="s">
        <v>457</v>
      </c>
      <c r="C954" s="3" t="s">
        <v>4</v>
      </c>
      <c r="D954" s="3" t="s">
        <v>48</v>
      </c>
      <c r="E954" s="3" t="s">
        <v>37</v>
      </c>
      <c r="F954" s="3" t="s">
        <v>44</v>
      </c>
      <c r="G954" s="3" t="s">
        <v>50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1153</v>
      </c>
      <c r="B955" s="3" t="s">
        <v>285</v>
      </c>
      <c r="C955" s="3" t="s">
        <v>4</v>
      </c>
      <c r="D955" s="3" t="s">
        <v>36</v>
      </c>
      <c r="E955" s="3" t="s">
        <v>37</v>
      </c>
      <c r="F955" s="3" t="s">
        <v>65</v>
      </c>
      <c r="G955" s="3" t="s">
        <v>45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1154</v>
      </c>
      <c r="B956" s="3" t="s">
        <v>415</v>
      </c>
      <c r="C956" s="3" t="s">
        <v>4</v>
      </c>
      <c r="D956" s="3" t="s">
        <v>42</v>
      </c>
      <c r="E956" s="3" t="s">
        <v>43</v>
      </c>
      <c r="F956" s="3" t="s">
        <v>49</v>
      </c>
      <c r="G956" s="3" t="s">
        <v>50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1155</v>
      </c>
      <c r="B957" s="3" t="s">
        <v>178</v>
      </c>
      <c r="C957" s="3" t="s">
        <v>4</v>
      </c>
      <c r="D957" s="3" t="s">
        <v>42</v>
      </c>
      <c r="E957" s="3" t="s">
        <v>43</v>
      </c>
      <c r="F957" s="3" t="s">
        <v>65</v>
      </c>
      <c r="G957" s="3" t="s">
        <v>45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1156</v>
      </c>
      <c r="B958" s="3" t="s">
        <v>87</v>
      </c>
      <c r="C958" s="3" t="s">
        <v>4</v>
      </c>
      <c r="D958" s="3" t="s">
        <v>42</v>
      </c>
      <c r="E958" s="3" t="s">
        <v>43</v>
      </c>
      <c r="F958" s="3" t="s">
        <v>49</v>
      </c>
      <c r="G958" s="3" t="s">
        <v>45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1157</v>
      </c>
      <c r="B959" s="3" t="s">
        <v>623</v>
      </c>
      <c r="C959" s="3" t="s">
        <v>4</v>
      </c>
      <c r="D959" s="3" t="s">
        <v>42</v>
      </c>
      <c r="E959" s="3" t="s">
        <v>37</v>
      </c>
      <c r="F959" s="3" t="s">
        <v>68</v>
      </c>
      <c r="G959" s="3" t="s">
        <v>45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1158</v>
      </c>
      <c r="B960" s="3" t="s">
        <v>192</v>
      </c>
      <c r="C960" s="3" t="s">
        <v>4</v>
      </c>
      <c r="D960" s="3" t="s">
        <v>48</v>
      </c>
      <c r="E960" s="3" t="s">
        <v>43</v>
      </c>
      <c r="F960" s="3" t="s">
        <v>44</v>
      </c>
      <c r="G960" s="3" t="s">
        <v>45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1159</v>
      </c>
      <c r="B961" s="3" t="s">
        <v>135</v>
      </c>
      <c r="C961" s="3" t="s">
        <v>4</v>
      </c>
      <c r="D961" s="3" t="s">
        <v>36</v>
      </c>
      <c r="E961" s="3" t="s">
        <v>43</v>
      </c>
      <c r="F961" s="3" t="s">
        <v>65</v>
      </c>
      <c r="G961" s="3" t="s">
        <v>50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1160</v>
      </c>
      <c r="B962" s="3" t="s">
        <v>631</v>
      </c>
      <c r="C962" s="3" t="s">
        <v>4</v>
      </c>
      <c r="D962" s="3" t="s">
        <v>48</v>
      </c>
      <c r="E962" s="3" t="s">
        <v>37</v>
      </c>
      <c r="F962" s="3" t="s">
        <v>44</v>
      </c>
      <c r="G962" s="3" t="s">
        <v>50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1161</v>
      </c>
      <c r="B963" s="3" t="s">
        <v>248</v>
      </c>
      <c r="C963" s="3" t="s">
        <v>4</v>
      </c>
      <c r="D963" s="3" t="s">
        <v>48</v>
      </c>
      <c r="E963" s="3" t="s">
        <v>43</v>
      </c>
      <c r="F963" s="3" t="s">
        <v>44</v>
      </c>
      <c r="G963" s="3" t="s">
        <v>39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1162</v>
      </c>
      <c r="B964" s="3" t="s">
        <v>112</v>
      </c>
      <c r="C964" s="3" t="s">
        <v>4</v>
      </c>
      <c r="D964" s="3" t="s">
        <v>48</v>
      </c>
      <c r="E964" s="3" t="s">
        <v>37</v>
      </c>
      <c r="F964" s="3" t="s">
        <v>49</v>
      </c>
      <c r="G964" s="3" t="s">
        <v>45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1163</v>
      </c>
      <c r="B965" s="3" t="s">
        <v>345</v>
      </c>
      <c r="C965" s="3" t="s">
        <v>4</v>
      </c>
      <c r="D965" s="3" t="s">
        <v>53</v>
      </c>
      <c r="E965" s="3" t="s">
        <v>43</v>
      </c>
      <c r="F965" s="3" t="s">
        <v>44</v>
      </c>
      <c r="G965" s="3" t="s">
        <v>39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1164</v>
      </c>
      <c r="B966" s="3" t="s">
        <v>402</v>
      </c>
      <c r="C966" s="3" t="s">
        <v>4</v>
      </c>
      <c r="D966" s="3" t="s">
        <v>36</v>
      </c>
      <c r="E966" s="3" t="s">
        <v>37</v>
      </c>
      <c r="F966" s="3" t="s">
        <v>68</v>
      </c>
      <c r="G966" s="3" t="s">
        <v>45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1165</v>
      </c>
      <c r="B967" s="3" t="s">
        <v>91</v>
      </c>
      <c r="C967" s="3" t="s">
        <v>4</v>
      </c>
      <c r="D967" s="3" t="s">
        <v>36</v>
      </c>
      <c r="E967" s="3" t="s">
        <v>43</v>
      </c>
      <c r="F967" s="3" t="s">
        <v>44</v>
      </c>
      <c r="G967" s="3" t="s">
        <v>39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1166</v>
      </c>
      <c r="B968" s="3" t="s">
        <v>148</v>
      </c>
      <c r="C968" s="3" t="s">
        <v>4</v>
      </c>
      <c r="D968" s="3" t="s">
        <v>53</v>
      </c>
      <c r="E968" s="3" t="s">
        <v>37</v>
      </c>
      <c r="F968" s="3"/>
      <c r="G968" s="3" t="s">
        <v>45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1167</v>
      </c>
      <c r="B969" s="3" t="s">
        <v>399</v>
      </c>
      <c r="C969" s="3" t="s">
        <v>4</v>
      </c>
      <c r="D969" s="3" t="s">
        <v>42</v>
      </c>
      <c r="E969" s="3" t="s">
        <v>43</v>
      </c>
      <c r="F969" s="3" t="s">
        <v>44</v>
      </c>
      <c r="G969" s="3" t="s">
        <v>50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1168</v>
      </c>
      <c r="B970" s="3" t="s">
        <v>322</v>
      </c>
      <c r="C970" s="3" t="s">
        <v>4</v>
      </c>
      <c r="D970" s="3" t="s">
        <v>53</v>
      </c>
      <c r="E970" s="3" t="s">
        <v>43</v>
      </c>
      <c r="F970" s="3" t="s">
        <v>68</v>
      </c>
      <c r="G970" s="3" t="s">
        <v>45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1169</v>
      </c>
      <c r="B971" s="3" t="s">
        <v>205</v>
      </c>
      <c r="C971" s="3" t="s">
        <v>4</v>
      </c>
      <c r="D971" s="3" t="s">
        <v>53</v>
      </c>
      <c r="E971" s="3" t="s">
        <v>37</v>
      </c>
      <c r="F971" s="3" t="s">
        <v>68</v>
      </c>
      <c r="G971" s="3" t="s">
        <v>45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1170</v>
      </c>
      <c r="B972" s="3" t="s">
        <v>446</v>
      </c>
      <c r="C972" s="3" t="s">
        <v>4</v>
      </c>
      <c r="D972" s="3" t="s">
        <v>36</v>
      </c>
      <c r="E972" s="3" t="s">
        <v>37</v>
      </c>
      <c r="F972" s="3" t="s">
        <v>68</v>
      </c>
      <c r="G972" s="3" t="s">
        <v>45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1171</v>
      </c>
      <c r="B973" s="3" t="s">
        <v>254</v>
      </c>
      <c r="C973" s="3" t="s">
        <v>4</v>
      </c>
      <c r="D973" s="3" t="s">
        <v>48</v>
      </c>
      <c r="E973" s="3" t="s">
        <v>43</v>
      </c>
      <c r="F973" s="3" t="s">
        <v>49</v>
      </c>
      <c r="G973" s="3" t="s">
        <v>50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1172</v>
      </c>
      <c r="B974" s="3" t="s">
        <v>108</v>
      </c>
      <c r="C974" s="3" t="s">
        <v>4</v>
      </c>
      <c r="D974" s="3" t="s">
        <v>42</v>
      </c>
      <c r="E974" s="3" t="s">
        <v>43</v>
      </c>
      <c r="F974" s="3" t="s">
        <v>65</v>
      </c>
      <c r="G974" s="3" t="s">
        <v>39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1173</v>
      </c>
      <c r="B975" s="3" t="s">
        <v>252</v>
      </c>
      <c r="C975" s="3" t="s">
        <v>4</v>
      </c>
      <c r="D975" s="3" t="s">
        <v>53</v>
      </c>
      <c r="E975" s="3" t="s">
        <v>43</v>
      </c>
      <c r="F975" s="3" t="s">
        <v>49</v>
      </c>
      <c r="G975" s="3" t="s">
        <v>50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1174</v>
      </c>
      <c r="B976" s="3" t="s">
        <v>237</v>
      </c>
      <c r="C976" s="3" t="s">
        <v>4</v>
      </c>
      <c r="D976" s="3" t="s">
        <v>36</v>
      </c>
      <c r="E976" s="3" t="s">
        <v>43</v>
      </c>
      <c r="F976" s="3" t="s">
        <v>44</v>
      </c>
      <c r="G976" s="3" t="s">
        <v>45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1175</v>
      </c>
      <c r="B977" s="3" t="s">
        <v>158</v>
      </c>
      <c r="C977" s="3" t="s">
        <v>4</v>
      </c>
      <c r="D977" s="3" t="s">
        <v>53</v>
      </c>
      <c r="E977" s="3" t="s">
        <v>37</v>
      </c>
      <c r="F977" s="3" t="s">
        <v>38</v>
      </c>
      <c r="G977" s="3" t="s">
        <v>39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1176</v>
      </c>
      <c r="B978" s="3" t="s">
        <v>373</v>
      </c>
      <c r="C978" s="3" t="s">
        <v>4</v>
      </c>
      <c r="D978" s="3" t="s">
        <v>53</v>
      </c>
      <c r="E978" s="3" t="s">
        <v>37</v>
      </c>
      <c r="F978" s="3" t="s">
        <v>38</v>
      </c>
      <c r="G978" s="3" t="s">
        <v>50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1177</v>
      </c>
      <c r="B979" s="3" t="s">
        <v>530</v>
      </c>
      <c r="C979" s="3" t="s">
        <v>4</v>
      </c>
      <c r="D979" s="3" t="s">
        <v>42</v>
      </c>
      <c r="E979" s="3" t="s">
        <v>37</v>
      </c>
      <c r="F979" s="3" t="s">
        <v>38</v>
      </c>
      <c r="G979" s="3" t="s">
        <v>39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1178</v>
      </c>
      <c r="B980" s="3" t="s">
        <v>171</v>
      </c>
      <c r="C980" s="3" t="s">
        <v>4</v>
      </c>
      <c r="D980" s="3" t="s">
        <v>36</v>
      </c>
      <c r="E980" s="3" t="s">
        <v>43</v>
      </c>
      <c r="F980" s="3" t="s">
        <v>49</v>
      </c>
      <c r="G980" s="3" t="s">
        <v>45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1179</v>
      </c>
      <c r="B981" s="3" t="s">
        <v>190</v>
      </c>
      <c r="C981" s="3" t="s">
        <v>4</v>
      </c>
      <c r="D981" s="3" t="s">
        <v>36</v>
      </c>
      <c r="E981" s="3" t="s">
        <v>43</v>
      </c>
      <c r="F981" s="3" t="s">
        <v>65</v>
      </c>
      <c r="G981" s="3" t="s">
        <v>50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1180</v>
      </c>
      <c r="B982" s="3" t="s">
        <v>182</v>
      </c>
      <c r="C982" s="3" t="s">
        <v>4</v>
      </c>
      <c r="D982" s="3" t="s">
        <v>36</v>
      </c>
      <c r="E982" s="3" t="s">
        <v>37</v>
      </c>
      <c r="F982" s="3" t="s">
        <v>49</v>
      </c>
      <c r="G982" s="3" t="s">
        <v>50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1181</v>
      </c>
      <c r="B983" s="3" t="s">
        <v>433</v>
      </c>
      <c r="C983" s="3" t="s">
        <v>4</v>
      </c>
      <c r="D983" s="3" t="s">
        <v>53</v>
      </c>
      <c r="E983" s="3" t="s">
        <v>37</v>
      </c>
      <c r="F983" s="3" t="s">
        <v>38</v>
      </c>
      <c r="G983" s="3" t="s">
        <v>45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1182</v>
      </c>
      <c r="B984" s="3" t="s">
        <v>171</v>
      </c>
      <c r="C984" s="3" t="s">
        <v>4</v>
      </c>
      <c r="D984" s="3" t="s">
        <v>36</v>
      </c>
      <c r="E984" s="3" t="s">
        <v>37</v>
      </c>
      <c r="F984" s="3" t="s">
        <v>65</v>
      </c>
      <c r="G984" s="3" t="s">
        <v>45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1183</v>
      </c>
      <c r="B985" s="3" t="s">
        <v>786</v>
      </c>
      <c r="C985" s="3" t="s">
        <v>4</v>
      </c>
      <c r="D985" s="3" t="s">
        <v>42</v>
      </c>
      <c r="E985" s="3" t="s">
        <v>43</v>
      </c>
      <c r="F985" s="3" t="s">
        <v>49</v>
      </c>
      <c r="G985" s="3" t="s">
        <v>39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1184</v>
      </c>
      <c r="B986" s="3" t="s">
        <v>156</v>
      </c>
      <c r="C986" s="3" t="s">
        <v>4</v>
      </c>
      <c r="D986" s="3" t="s">
        <v>53</v>
      </c>
      <c r="E986" s="3" t="s">
        <v>56</v>
      </c>
      <c r="F986" s="3" t="s">
        <v>49</v>
      </c>
      <c r="G986" s="3" t="s">
        <v>39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1185</v>
      </c>
      <c r="B987" s="3" t="s">
        <v>144</v>
      </c>
      <c r="C987" s="3" t="s">
        <v>4</v>
      </c>
      <c r="D987" s="3" t="s">
        <v>48</v>
      </c>
      <c r="E987" s="3" t="s">
        <v>43</v>
      </c>
      <c r="F987" s="3" t="s">
        <v>49</v>
      </c>
      <c r="G987" s="3" t="s">
        <v>45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1186</v>
      </c>
      <c r="B988" s="3" t="s">
        <v>144</v>
      </c>
      <c r="C988" s="3" t="s">
        <v>4</v>
      </c>
      <c r="D988" s="3" t="s">
        <v>48</v>
      </c>
      <c r="E988" s="3" t="s">
        <v>56</v>
      </c>
      <c r="F988" s="3" t="s">
        <v>68</v>
      </c>
      <c r="G988" s="3" t="s">
        <v>50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1187</v>
      </c>
      <c r="B989" s="3" t="s">
        <v>786</v>
      </c>
      <c r="C989" s="3" t="s">
        <v>4</v>
      </c>
      <c r="D989" s="3" t="s">
        <v>42</v>
      </c>
      <c r="E989" s="3" t="s">
        <v>56</v>
      </c>
      <c r="F989" s="3" t="s">
        <v>38</v>
      </c>
      <c r="G989" s="3" t="s">
        <v>39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1188</v>
      </c>
      <c r="B990" s="3" t="s">
        <v>164</v>
      </c>
      <c r="C990" s="3" t="s">
        <v>4</v>
      </c>
      <c r="D990" s="3" t="s">
        <v>42</v>
      </c>
      <c r="E990" s="3" t="s">
        <v>37</v>
      </c>
      <c r="F990" s="3" t="s">
        <v>44</v>
      </c>
      <c r="G990" s="3" t="s">
        <v>45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1189</v>
      </c>
      <c r="B991" s="3" t="s">
        <v>433</v>
      </c>
      <c r="C991" s="3" t="s">
        <v>4</v>
      </c>
      <c r="D991" s="3" t="s">
        <v>48</v>
      </c>
      <c r="E991" s="3" t="s">
        <v>43</v>
      </c>
      <c r="F991" s="3" t="s">
        <v>44</v>
      </c>
      <c r="G991" s="3" t="s">
        <v>39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1190</v>
      </c>
      <c r="B992" s="3" t="s">
        <v>259</v>
      </c>
      <c r="C992" s="3" t="s">
        <v>4</v>
      </c>
      <c r="D992" s="3" t="s">
        <v>42</v>
      </c>
      <c r="E992" s="3" t="s">
        <v>37</v>
      </c>
      <c r="F992" s="3" t="s">
        <v>68</v>
      </c>
      <c r="G992" s="3" t="s">
        <v>45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1191</v>
      </c>
      <c r="B993" s="3" t="s">
        <v>131</v>
      </c>
      <c r="C993" s="3" t="s">
        <v>4</v>
      </c>
      <c r="D993" s="3" t="s">
        <v>53</v>
      </c>
      <c r="E993" s="3" t="s">
        <v>37</v>
      </c>
      <c r="F993" s="3" t="s">
        <v>44</v>
      </c>
      <c r="G993" s="3" t="s">
        <v>45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1192</v>
      </c>
      <c r="B994" s="3" t="s">
        <v>279</v>
      </c>
      <c r="C994" s="3" t="s">
        <v>4</v>
      </c>
      <c r="D994" s="3" t="s">
        <v>48</v>
      </c>
      <c r="E994" s="3" t="s">
        <v>43</v>
      </c>
      <c r="F994" s="3" t="s">
        <v>49</v>
      </c>
      <c r="G994" s="3" t="s">
        <v>45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1193</v>
      </c>
      <c r="B995" s="3" t="s">
        <v>81</v>
      </c>
      <c r="C995" s="3" t="s">
        <v>4</v>
      </c>
      <c r="D995" s="3" t="s">
        <v>53</v>
      </c>
      <c r="E995" s="3" t="s">
        <v>43</v>
      </c>
      <c r="F995" s="3" t="s">
        <v>65</v>
      </c>
      <c r="G995" s="3" t="s">
        <v>45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1194</v>
      </c>
      <c r="B996" s="3" t="s">
        <v>452</v>
      </c>
      <c r="C996" s="3" t="s">
        <v>4</v>
      </c>
      <c r="D996" s="3" t="s">
        <v>48</v>
      </c>
      <c r="E996" s="3" t="s">
        <v>56</v>
      </c>
      <c r="F996" s="3" t="s">
        <v>68</v>
      </c>
      <c r="G996" s="3" t="s">
        <v>45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1195</v>
      </c>
      <c r="B997" s="3" t="s">
        <v>184</v>
      </c>
      <c r="C997" s="3" t="s">
        <v>4</v>
      </c>
      <c r="D997" s="3" t="s">
        <v>36</v>
      </c>
      <c r="E997" s="3" t="s">
        <v>43</v>
      </c>
      <c r="F997" s="3" t="s">
        <v>49</v>
      </c>
      <c r="G997" s="3" t="s">
        <v>39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1196</v>
      </c>
      <c r="B998" s="3" t="s">
        <v>205</v>
      </c>
      <c r="C998" s="3" t="s">
        <v>4</v>
      </c>
      <c r="D998" s="3" t="s">
        <v>42</v>
      </c>
      <c r="E998" s="3" t="s">
        <v>43</v>
      </c>
      <c r="F998" s="3" t="s">
        <v>68</v>
      </c>
      <c r="G998" s="3" t="s">
        <v>45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1197</v>
      </c>
      <c r="B999" s="3" t="s">
        <v>164</v>
      </c>
      <c r="C999" s="3" t="s">
        <v>4</v>
      </c>
      <c r="D999" s="3" t="s">
        <v>53</v>
      </c>
      <c r="E999" s="3" t="s">
        <v>37</v>
      </c>
      <c r="F999" s="3" t="s">
        <v>68</v>
      </c>
      <c r="G999" s="3" t="s">
        <v>45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1198</v>
      </c>
      <c r="B1000" s="3" t="s">
        <v>216</v>
      </c>
      <c r="C1000" s="3" t="s">
        <v>4</v>
      </c>
      <c r="D1000" s="3" t="s">
        <v>48</v>
      </c>
      <c r="E1000" s="3" t="s">
        <v>43</v>
      </c>
      <c r="F1000" s="3" t="s">
        <v>68</v>
      </c>
      <c r="G1000" s="3" t="s">
        <v>39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1199</v>
      </c>
      <c r="B1001" s="3" t="s">
        <v>131</v>
      </c>
      <c r="C1001" s="3" t="s">
        <v>4</v>
      </c>
      <c r="D1001" s="3" t="s">
        <v>53</v>
      </c>
      <c r="E1001" s="3" t="s">
        <v>43</v>
      </c>
      <c r="F1001" s="3" t="s">
        <v>68</v>
      </c>
      <c r="G1001" s="3" t="s">
        <v>50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1200</v>
      </c>
      <c r="B1002" s="3" t="s">
        <v>307</v>
      </c>
      <c r="C1002" s="3" t="s">
        <v>4</v>
      </c>
      <c r="D1002" s="3" t="s">
        <v>53</v>
      </c>
      <c r="E1002" s="3" t="s">
        <v>43</v>
      </c>
      <c r="F1002" s="3" t="s">
        <v>65</v>
      </c>
      <c r="G1002" s="3" t="s">
        <v>45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1201</v>
      </c>
      <c r="B1003" s="3" t="s">
        <v>144</v>
      </c>
      <c r="C1003" s="3" t="s">
        <v>4</v>
      </c>
      <c r="D1003" s="3" t="s">
        <v>48</v>
      </c>
      <c r="E1003" s="3" t="s">
        <v>43</v>
      </c>
      <c r="F1003" s="3" t="s">
        <v>49</v>
      </c>
      <c r="G1003" s="3" t="s">
        <v>39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1202</v>
      </c>
      <c r="B1004" s="3" t="s">
        <v>212</v>
      </c>
      <c r="C1004" s="3" t="s">
        <v>4</v>
      </c>
      <c r="D1004" s="3" t="s">
        <v>48</v>
      </c>
      <c r="E1004" s="3" t="s">
        <v>37</v>
      </c>
      <c r="F1004" s="3" t="s">
        <v>49</v>
      </c>
      <c r="G1004" s="3" t="s">
        <v>45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1203</v>
      </c>
      <c r="B1005" s="3" t="s">
        <v>101</v>
      </c>
      <c r="C1005" s="3" t="s">
        <v>4</v>
      </c>
      <c r="D1005" s="3" t="s">
        <v>36</v>
      </c>
      <c r="E1005" s="3" t="s">
        <v>43</v>
      </c>
      <c r="F1005" s="3" t="s">
        <v>65</v>
      </c>
      <c r="G1005" s="3" t="s">
        <v>39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1204</v>
      </c>
      <c r="B1006" s="3" t="s">
        <v>500</v>
      </c>
      <c r="C1006" s="3" t="s">
        <v>4</v>
      </c>
      <c r="D1006" s="3" t="s">
        <v>48</v>
      </c>
      <c r="E1006" s="3" t="s">
        <v>43</v>
      </c>
      <c r="F1006" s="3" t="s">
        <v>38</v>
      </c>
      <c r="G1006" s="3" t="s">
        <v>45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1205</v>
      </c>
      <c r="B1007" s="3" t="s">
        <v>199</v>
      </c>
      <c r="C1007" s="3" t="s">
        <v>4</v>
      </c>
      <c r="D1007" s="3" t="s">
        <v>53</v>
      </c>
      <c r="E1007" s="3" t="s">
        <v>37</v>
      </c>
      <c r="F1007" s="3" t="s">
        <v>65</v>
      </c>
      <c r="G1007" s="3" t="s">
        <v>50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1206</v>
      </c>
      <c r="B1008" s="3" t="s">
        <v>70</v>
      </c>
      <c r="C1008" s="3" t="s">
        <v>4</v>
      </c>
      <c r="D1008" s="3" t="s">
        <v>36</v>
      </c>
      <c r="E1008" s="3" t="s">
        <v>43</v>
      </c>
      <c r="F1008" s="3" t="s">
        <v>49</v>
      </c>
      <c r="G1008" s="3" t="s">
        <v>50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1207</v>
      </c>
      <c r="B1009" s="3" t="s">
        <v>108</v>
      </c>
      <c r="C1009" s="3" t="s">
        <v>4</v>
      </c>
      <c r="D1009" s="3" t="s">
        <v>42</v>
      </c>
      <c r="E1009" s="3" t="s">
        <v>37</v>
      </c>
      <c r="F1009" s="3" t="s">
        <v>44</v>
      </c>
      <c r="G1009" s="3" t="s">
        <v>45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1208</v>
      </c>
      <c r="B1010" s="3" t="s">
        <v>361</v>
      </c>
      <c r="C1010" s="3" t="s">
        <v>4</v>
      </c>
      <c r="D1010" s="3" t="s">
        <v>42</v>
      </c>
      <c r="E1010" s="3" t="s">
        <v>37</v>
      </c>
      <c r="F1010" s="3" t="s">
        <v>65</v>
      </c>
      <c r="G1010" s="3" t="s">
        <v>39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1209</v>
      </c>
      <c r="B1011" s="3" t="s">
        <v>192</v>
      </c>
      <c r="C1011" s="3" t="s">
        <v>4</v>
      </c>
      <c r="D1011" s="3" t="s">
        <v>53</v>
      </c>
      <c r="E1011" s="3" t="s">
        <v>37</v>
      </c>
      <c r="F1011" s="3" t="s">
        <v>44</v>
      </c>
      <c r="G1011" s="3" t="s">
        <v>45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1210</v>
      </c>
      <c r="B1012" s="3" t="s">
        <v>433</v>
      </c>
      <c r="C1012" s="3" t="s">
        <v>4</v>
      </c>
      <c r="D1012" s="3" t="s">
        <v>48</v>
      </c>
      <c r="E1012" s="3" t="s">
        <v>37</v>
      </c>
      <c r="F1012" s="3" t="s">
        <v>44</v>
      </c>
      <c r="G1012" s="3" t="s">
        <v>45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1211</v>
      </c>
      <c r="B1013" s="3" t="s">
        <v>169</v>
      </c>
      <c r="C1013" s="3" t="s">
        <v>4</v>
      </c>
      <c r="D1013" s="3" t="s">
        <v>36</v>
      </c>
      <c r="E1013" s="3" t="s">
        <v>37</v>
      </c>
      <c r="F1013" s="3" t="s">
        <v>44</v>
      </c>
      <c r="G1013" s="3" t="s">
        <v>50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1212</v>
      </c>
      <c r="B1014" s="3" t="s">
        <v>266</v>
      </c>
      <c r="C1014" s="3" t="s">
        <v>4</v>
      </c>
      <c r="D1014" s="3" t="s">
        <v>53</v>
      </c>
      <c r="E1014" s="3" t="s">
        <v>37</v>
      </c>
      <c r="F1014" s="3" t="s">
        <v>68</v>
      </c>
      <c r="G1014" s="3" t="s">
        <v>45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1213</v>
      </c>
      <c r="B1015" s="3" t="s">
        <v>257</v>
      </c>
      <c r="C1015" s="3" t="s">
        <v>4</v>
      </c>
      <c r="D1015" s="3" t="s">
        <v>36</v>
      </c>
      <c r="E1015" s="3" t="s">
        <v>43</v>
      </c>
      <c r="F1015" s="3" t="s">
        <v>49</v>
      </c>
      <c r="G1015" s="3" t="s">
        <v>45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1214</v>
      </c>
      <c r="B1016" s="3" t="s">
        <v>281</v>
      </c>
      <c r="C1016" s="3" t="s">
        <v>4</v>
      </c>
      <c r="D1016" s="3" t="s">
        <v>36</v>
      </c>
      <c r="E1016" s="3" t="s">
        <v>43</v>
      </c>
      <c r="F1016" s="3" t="s">
        <v>65</v>
      </c>
      <c r="G1016" s="3" t="s">
        <v>45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1215</v>
      </c>
      <c r="B1017" s="3" t="s">
        <v>188</v>
      </c>
      <c r="C1017" s="3" t="s">
        <v>4</v>
      </c>
      <c r="D1017" s="3" t="s">
        <v>53</v>
      </c>
      <c r="E1017" s="3" t="s">
        <v>37</v>
      </c>
      <c r="F1017" s="3" t="s">
        <v>44</v>
      </c>
      <c r="G1017" s="3" t="s">
        <v>39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1216</v>
      </c>
      <c r="B1018" s="3" t="s">
        <v>307</v>
      </c>
      <c r="C1018" s="3" t="s">
        <v>4</v>
      </c>
      <c r="D1018" s="3" t="s">
        <v>48</v>
      </c>
      <c r="E1018" s="3" t="s">
        <v>43</v>
      </c>
      <c r="F1018" s="3" t="s">
        <v>49</v>
      </c>
      <c r="G1018" s="3" t="s">
        <v>39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1217</v>
      </c>
      <c r="B1019" s="3" t="s">
        <v>95</v>
      </c>
      <c r="C1019" s="3" t="s">
        <v>4</v>
      </c>
      <c r="D1019" s="3" t="s">
        <v>53</v>
      </c>
      <c r="E1019" s="3" t="s">
        <v>43</v>
      </c>
      <c r="F1019" s="3"/>
      <c r="G1019" s="3" t="s">
        <v>39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1218</v>
      </c>
      <c r="B1020" s="3" t="s">
        <v>209</v>
      </c>
      <c r="C1020" s="3" t="s">
        <v>4</v>
      </c>
      <c r="D1020" s="3" t="s">
        <v>53</v>
      </c>
      <c r="E1020" s="3" t="s">
        <v>43</v>
      </c>
      <c r="F1020" s="3" t="s">
        <v>44</v>
      </c>
      <c r="G1020" s="3" t="s">
        <v>45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1219</v>
      </c>
      <c r="B1021" s="3" t="s">
        <v>75</v>
      </c>
      <c r="C1021" s="3" t="s">
        <v>4</v>
      </c>
      <c r="D1021" s="3" t="s">
        <v>53</v>
      </c>
      <c r="E1021" s="3" t="s">
        <v>37</v>
      </c>
      <c r="F1021" s="3" t="s">
        <v>49</v>
      </c>
      <c r="G1021" s="3" t="s">
        <v>39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1220</v>
      </c>
      <c r="B1022" s="3" t="s">
        <v>246</v>
      </c>
      <c r="C1022" s="3" t="s">
        <v>4</v>
      </c>
      <c r="D1022" s="3" t="s">
        <v>48</v>
      </c>
      <c r="E1022" s="3" t="s">
        <v>43</v>
      </c>
      <c r="F1022" s="3" t="s">
        <v>49</v>
      </c>
      <c r="G1022" s="3" t="s">
        <v>39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1221</v>
      </c>
      <c r="B1023" s="3" t="s">
        <v>52</v>
      </c>
      <c r="C1023" s="3" t="s">
        <v>4</v>
      </c>
      <c r="D1023" s="3" t="s">
        <v>53</v>
      </c>
      <c r="E1023" s="3" t="s">
        <v>43</v>
      </c>
      <c r="F1023" s="3" t="s">
        <v>44</v>
      </c>
      <c r="G1023" s="3" t="s">
        <v>45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1222</v>
      </c>
      <c r="B1024" s="3" t="s">
        <v>188</v>
      </c>
      <c r="C1024" s="3" t="s">
        <v>4</v>
      </c>
      <c r="D1024" s="3" t="s">
        <v>48</v>
      </c>
      <c r="E1024" s="3" t="s">
        <v>37</v>
      </c>
      <c r="F1024" s="3" t="s">
        <v>49</v>
      </c>
      <c r="G1024" s="3" t="s">
        <v>39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1223</v>
      </c>
      <c r="B1025" s="3" t="s">
        <v>219</v>
      </c>
      <c r="C1025" s="3" t="s">
        <v>4</v>
      </c>
      <c r="D1025" s="3" t="s">
        <v>42</v>
      </c>
      <c r="E1025" s="3" t="s">
        <v>56</v>
      </c>
      <c r="F1025" s="3" t="s">
        <v>49</v>
      </c>
      <c r="G1025" s="3" t="s">
        <v>50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1224</v>
      </c>
      <c r="B1026" s="3" t="s">
        <v>285</v>
      </c>
      <c r="C1026" s="3" t="s">
        <v>4</v>
      </c>
      <c r="D1026" s="3" t="s">
        <v>36</v>
      </c>
      <c r="E1026" s="3" t="s">
        <v>43</v>
      </c>
      <c r="F1026" s="3" t="s">
        <v>68</v>
      </c>
      <c r="G1026" s="3" t="s">
        <v>50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1225</v>
      </c>
      <c r="B1027" s="3" t="s">
        <v>959</v>
      </c>
      <c r="C1027" s="3" t="s">
        <v>4</v>
      </c>
      <c r="D1027" s="3" t="s">
        <v>48</v>
      </c>
      <c r="E1027" s="3" t="s">
        <v>43</v>
      </c>
      <c r="F1027" s="3" t="s">
        <v>65</v>
      </c>
      <c r="G1027" s="3" t="s">
        <v>45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1226</v>
      </c>
      <c r="B1028" s="3" t="s">
        <v>135</v>
      </c>
      <c r="C1028" s="3" t="s">
        <v>4</v>
      </c>
      <c r="D1028" s="3" t="s">
        <v>53</v>
      </c>
      <c r="E1028" s="3" t="s">
        <v>43</v>
      </c>
      <c r="F1028" s="3" t="s">
        <v>38</v>
      </c>
      <c r="G1028" s="3" t="s">
        <v>50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1227</v>
      </c>
      <c r="B1029" s="3" t="s">
        <v>146</v>
      </c>
      <c r="C1029" s="3" t="s">
        <v>4</v>
      </c>
      <c r="D1029" s="3" t="s">
        <v>42</v>
      </c>
      <c r="E1029" s="3" t="s">
        <v>43</v>
      </c>
      <c r="F1029" s="3" t="s">
        <v>68</v>
      </c>
      <c r="G1029" s="3" t="s">
        <v>45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1228</v>
      </c>
      <c r="B1030" s="3" t="s">
        <v>563</v>
      </c>
      <c r="C1030" s="3" t="s">
        <v>4</v>
      </c>
      <c r="D1030" s="3" t="s">
        <v>42</v>
      </c>
      <c r="E1030" s="3" t="s">
        <v>43</v>
      </c>
      <c r="F1030" s="3" t="s">
        <v>49</v>
      </c>
      <c r="G1030" s="3" t="s">
        <v>45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1229</v>
      </c>
      <c r="B1031" s="3" t="s">
        <v>371</v>
      </c>
      <c r="C1031" s="3" t="s">
        <v>4</v>
      </c>
      <c r="D1031" s="3" t="s">
        <v>36</v>
      </c>
      <c r="E1031" s="3" t="s">
        <v>43</v>
      </c>
      <c r="F1031" s="3" t="s">
        <v>44</v>
      </c>
      <c r="G1031" s="3" t="s">
        <v>50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1230</v>
      </c>
      <c r="B1032" s="3" t="s">
        <v>164</v>
      </c>
      <c r="C1032" s="3" t="s">
        <v>4</v>
      </c>
      <c r="D1032" s="3" t="s">
        <v>53</v>
      </c>
      <c r="E1032" s="3" t="s">
        <v>43</v>
      </c>
      <c r="F1032" s="3" t="s">
        <v>65</v>
      </c>
      <c r="G1032" s="3" t="s">
        <v>39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1231</v>
      </c>
      <c r="B1033" s="3" t="s">
        <v>106</v>
      </c>
      <c r="C1033" s="3" t="s">
        <v>4</v>
      </c>
      <c r="D1033" s="3" t="s">
        <v>36</v>
      </c>
      <c r="E1033" s="3" t="s">
        <v>43</v>
      </c>
      <c r="F1033" s="3" t="s">
        <v>49</v>
      </c>
      <c r="G1033" s="3" t="s">
        <v>45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1232</v>
      </c>
      <c r="B1034" s="3" t="s">
        <v>178</v>
      </c>
      <c r="C1034" s="3" t="s">
        <v>4</v>
      </c>
      <c r="D1034" s="3" t="s">
        <v>36</v>
      </c>
      <c r="E1034" s="3" t="s">
        <v>43</v>
      </c>
      <c r="F1034" s="3" t="s">
        <v>44</v>
      </c>
      <c r="G1034" s="3" t="s">
        <v>39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1233</v>
      </c>
      <c r="B1035" s="3" t="s">
        <v>652</v>
      </c>
      <c r="C1035" s="3" t="s">
        <v>4</v>
      </c>
      <c r="D1035" s="3" t="s">
        <v>48</v>
      </c>
      <c r="E1035" s="3" t="s">
        <v>37</v>
      </c>
      <c r="F1035" s="3" t="s">
        <v>44</v>
      </c>
      <c r="G1035" s="3" t="s">
        <v>39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1234</v>
      </c>
      <c r="B1036" s="3" t="s">
        <v>257</v>
      </c>
      <c r="C1036" s="3" t="s">
        <v>4</v>
      </c>
      <c r="D1036" s="3" t="s">
        <v>48</v>
      </c>
      <c r="E1036" s="3" t="s">
        <v>56</v>
      </c>
      <c r="F1036" s="3" t="s">
        <v>49</v>
      </c>
      <c r="G1036" s="3" t="s">
        <v>39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1235</v>
      </c>
      <c r="B1037" s="3" t="s">
        <v>941</v>
      </c>
      <c r="C1037" s="3" t="s">
        <v>4</v>
      </c>
      <c r="D1037" s="3" t="s">
        <v>36</v>
      </c>
      <c r="E1037" s="3" t="s">
        <v>43</v>
      </c>
      <c r="F1037" s="3" t="s">
        <v>68</v>
      </c>
      <c r="G1037" s="3" t="s">
        <v>45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1236</v>
      </c>
      <c r="B1038" s="3" t="s">
        <v>188</v>
      </c>
      <c r="C1038" s="3" t="s">
        <v>4</v>
      </c>
      <c r="D1038" s="3" t="s">
        <v>42</v>
      </c>
      <c r="E1038" s="3" t="s">
        <v>43</v>
      </c>
      <c r="F1038" s="3" t="s">
        <v>68</v>
      </c>
      <c r="G1038" s="3" t="s">
        <v>50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1237</v>
      </c>
      <c r="B1039" s="3" t="s">
        <v>415</v>
      </c>
      <c r="C1039" s="3" t="s">
        <v>4</v>
      </c>
      <c r="D1039" s="3" t="s">
        <v>42</v>
      </c>
      <c r="E1039" s="3" t="s">
        <v>43</v>
      </c>
      <c r="F1039" s="3" t="s">
        <v>68</v>
      </c>
      <c r="G1039" s="3" t="s">
        <v>50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1238</v>
      </c>
      <c r="B1040" s="3" t="s">
        <v>232</v>
      </c>
      <c r="C1040" s="3" t="s">
        <v>4</v>
      </c>
      <c r="D1040" s="3" t="s">
        <v>48</v>
      </c>
      <c r="E1040" s="3" t="s">
        <v>43</v>
      </c>
      <c r="F1040" s="3" t="s">
        <v>49</v>
      </c>
      <c r="G1040" s="3" t="s">
        <v>39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1239</v>
      </c>
      <c r="B1041" s="3" t="s">
        <v>266</v>
      </c>
      <c r="C1041" s="3" t="s">
        <v>4</v>
      </c>
      <c r="D1041" s="3" t="s">
        <v>36</v>
      </c>
      <c r="E1041" s="3" t="s">
        <v>37</v>
      </c>
      <c r="F1041" s="3" t="s">
        <v>44</v>
      </c>
      <c r="G1041" s="3" t="s">
        <v>39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1240</v>
      </c>
      <c r="B1042" s="3" t="s">
        <v>135</v>
      </c>
      <c r="C1042" s="3" t="s">
        <v>4</v>
      </c>
      <c r="D1042" s="3" t="s">
        <v>48</v>
      </c>
      <c r="E1042" s="3" t="s">
        <v>43</v>
      </c>
      <c r="F1042" s="3" t="s">
        <v>65</v>
      </c>
      <c r="G1042" s="3" t="s">
        <v>45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1241</v>
      </c>
      <c r="B1043" s="3" t="s">
        <v>112</v>
      </c>
      <c r="C1043" s="3" t="s">
        <v>4</v>
      </c>
      <c r="D1043" s="3" t="s">
        <v>42</v>
      </c>
      <c r="E1043" s="3" t="s">
        <v>43</v>
      </c>
      <c r="F1043" s="3" t="s">
        <v>44</v>
      </c>
      <c r="G1043" s="3" t="s">
        <v>39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1242</v>
      </c>
      <c r="B1044" s="3" t="s">
        <v>93</v>
      </c>
      <c r="C1044" s="3" t="s">
        <v>4</v>
      </c>
      <c r="D1044" s="3" t="s">
        <v>36</v>
      </c>
      <c r="E1044" s="3" t="s">
        <v>37</v>
      </c>
      <c r="F1044" s="3" t="s">
        <v>44</v>
      </c>
      <c r="G1044" s="3" t="s">
        <v>45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1243</v>
      </c>
      <c r="B1045" s="3" t="s">
        <v>171</v>
      </c>
      <c r="C1045" s="3" t="s">
        <v>4</v>
      </c>
      <c r="D1045" s="3" t="s">
        <v>48</v>
      </c>
      <c r="E1045" s="3" t="s">
        <v>43</v>
      </c>
      <c r="F1045" s="3" t="s">
        <v>49</v>
      </c>
      <c r="G1045" s="3" t="s">
        <v>50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1244</v>
      </c>
      <c r="B1046" s="3" t="s">
        <v>399</v>
      </c>
      <c r="C1046" s="3" t="s">
        <v>4</v>
      </c>
      <c r="D1046" s="3" t="s">
        <v>48</v>
      </c>
      <c r="E1046" s="3" t="s">
        <v>37</v>
      </c>
      <c r="F1046" s="3"/>
      <c r="G1046" s="3" t="s">
        <v>39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1245</v>
      </c>
      <c r="B1047" s="3" t="s">
        <v>319</v>
      </c>
      <c r="C1047" s="3" t="s">
        <v>4</v>
      </c>
      <c r="D1047" s="3" t="s">
        <v>36</v>
      </c>
      <c r="E1047" s="3" t="s">
        <v>43</v>
      </c>
      <c r="F1047" s="3" t="s">
        <v>49</v>
      </c>
      <c r="G1047" s="3" t="s">
        <v>45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1246</v>
      </c>
      <c r="B1048" s="3" t="s">
        <v>89</v>
      </c>
      <c r="C1048" s="3" t="s">
        <v>4</v>
      </c>
      <c r="D1048" s="3" t="s">
        <v>42</v>
      </c>
      <c r="E1048" s="3" t="s">
        <v>43</v>
      </c>
      <c r="F1048" s="3" t="s">
        <v>44</v>
      </c>
      <c r="G1048" s="3" t="s">
        <v>39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1247</v>
      </c>
      <c r="B1049" s="3" t="s">
        <v>190</v>
      </c>
      <c r="C1049" s="3" t="s">
        <v>4</v>
      </c>
      <c r="D1049" s="3" t="s">
        <v>48</v>
      </c>
      <c r="E1049" s="3"/>
      <c r="F1049" s="3" t="s">
        <v>49</v>
      </c>
      <c r="G1049" s="3" t="s">
        <v>39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1248</v>
      </c>
      <c r="B1050" s="3" t="s">
        <v>786</v>
      </c>
      <c r="C1050" s="3" t="s">
        <v>4</v>
      </c>
      <c r="D1050" s="3" t="s">
        <v>42</v>
      </c>
      <c r="E1050" s="3" t="s">
        <v>37</v>
      </c>
      <c r="F1050" s="3" t="s">
        <v>68</v>
      </c>
      <c r="G1050" s="3" t="s">
        <v>45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1249</v>
      </c>
      <c r="B1051" s="3" t="s">
        <v>224</v>
      </c>
      <c r="C1051" s="3" t="s">
        <v>4</v>
      </c>
      <c r="D1051" s="3" t="s">
        <v>53</v>
      </c>
      <c r="E1051" s="3" t="s">
        <v>43</v>
      </c>
      <c r="F1051" s="3" t="s">
        <v>49</v>
      </c>
      <c r="G1051" s="3" t="s">
        <v>45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1250</v>
      </c>
      <c r="B1052" s="3" t="s">
        <v>652</v>
      </c>
      <c r="C1052" s="3" t="s">
        <v>4</v>
      </c>
      <c r="D1052" s="3" t="s">
        <v>36</v>
      </c>
      <c r="E1052" s="3" t="s">
        <v>43</v>
      </c>
      <c r="F1052" s="3" t="s">
        <v>38</v>
      </c>
      <c r="G1052" s="3" t="s">
        <v>39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1251</v>
      </c>
      <c r="B1053" s="3" t="s">
        <v>631</v>
      </c>
      <c r="C1053" s="3" t="s">
        <v>4</v>
      </c>
      <c r="D1053" s="3" t="s">
        <v>48</v>
      </c>
      <c r="E1053" s="3" t="s">
        <v>43</v>
      </c>
      <c r="F1053" s="3" t="s">
        <v>68</v>
      </c>
      <c r="G1053" s="3" t="s">
        <v>45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1252</v>
      </c>
      <c r="B1054" s="3" t="s">
        <v>266</v>
      </c>
      <c r="C1054" s="3" t="s">
        <v>4</v>
      </c>
      <c r="D1054" s="3" t="s">
        <v>36</v>
      </c>
      <c r="E1054" s="3" t="s">
        <v>37</v>
      </c>
      <c r="F1054" s="3" t="s">
        <v>38</v>
      </c>
      <c r="G1054" s="3" t="s">
        <v>45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1253</v>
      </c>
      <c r="B1055" s="3" t="s">
        <v>359</v>
      </c>
      <c r="C1055" s="3" t="s">
        <v>4</v>
      </c>
      <c r="D1055" s="3" t="s">
        <v>53</v>
      </c>
      <c r="E1055" s="3" t="s">
        <v>43</v>
      </c>
      <c r="F1055" s="3" t="s">
        <v>44</v>
      </c>
      <c r="G1055" s="3" t="s">
        <v>45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1254</v>
      </c>
      <c r="B1056" s="3" t="s">
        <v>186</v>
      </c>
      <c r="C1056" s="3" t="s">
        <v>4</v>
      </c>
      <c r="D1056" s="3" t="s">
        <v>48</v>
      </c>
      <c r="E1056" s="3" t="s">
        <v>43</v>
      </c>
      <c r="F1056" s="3" t="s">
        <v>44</v>
      </c>
      <c r="G1056" s="3" t="s">
        <v>45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1255</v>
      </c>
      <c r="B1057" s="3" t="s">
        <v>594</v>
      </c>
      <c r="C1057" s="3" t="s">
        <v>4</v>
      </c>
      <c r="D1057" s="3" t="s">
        <v>42</v>
      </c>
      <c r="E1057" s="3" t="s">
        <v>43</v>
      </c>
      <c r="F1057" s="3" t="s">
        <v>68</v>
      </c>
      <c r="G1057" s="3" t="s">
        <v>45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1256</v>
      </c>
      <c r="B1058" s="3" t="s">
        <v>146</v>
      </c>
      <c r="C1058" s="3" t="s">
        <v>4</v>
      </c>
      <c r="D1058" s="3" t="s">
        <v>53</v>
      </c>
      <c r="E1058" s="3" t="s">
        <v>43</v>
      </c>
      <c r="F1058" s="3" t="s">
        <v>49</v>
      </c>
      <c r="G1058" s="3" t="s">
        <v>45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1257</v>
      </c>
      <c r="B1059" s="3" t="s">
        <v>276</v>
      </c>
      <c r="C1059" s="3" t="s">
        <v>4</v>
      </c>
      <c r="D1059" s="3" t="s">
        <v>36</v>
      </c>
      <c r="E1059" s="3" t="s">
        <v>43</v>
      </c>
      <c r="F1059" s="3" t="s">
        <v>49</v>
      </c>
      <c r="G1059" s="3" t="s">
        <v>39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1258</v>
      </c>
      <c r="B1060" s="3" t="s">
        <v>135</v>
      </c>
      <c r="C1060" s="3" t="s">
        <v>4</v>
      </c>
      <c r="D1060" s="3" t="s">
        <v>53</v>
      </c>
      <c r="E1060" s="3" t="s">
        <v>43</v>
      </c>
      <c r="F1060" s="3" t="s">
        <v>44</v>
      </c>
      <c r="G1060" s="3" t="s">
        <v>45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1259</v>
      </c>
      <c r="B1061" s="3" t="s">
        <v>75</v>
      </c>
      <c r="C1061" s="3" t="s">
        <v>4</v>
      </c>
      <c r="D1061" s="3" t="s">
        <v>53</v>
      </c>
      <c r="E1061" s="3" t="s">
        <v>43</v>
      </c>
      <c r="F1061" s="3" t="s">
        <v>49</v>
      </c>
      <c r="G1061" s="3" t="s">
        <v>50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1260</v>
      </c>
      <c r="B1062" s="3" t="s">
        <v>212</v>
      </c>
      <c r="C1062" s="3" t="s">
        <v>4</v>
      </c>
      <c r="D1062" s="3" t="s">
        <v>42</v>
      </c>
      <c r="E1062" s="3" t="s">
        <v>43</v>
      </c>
      <c r="F1062" s="3" t="s">
        <v>68</v>
      </c>
      <c r="G1062" s="3" t="s">
        <v>45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1261</v>
      </c>
      <c r="B1063" s="3" t="s">
        <v>252</v>
      </c>
      <c r="C1063" s="3" t="s">
        <v>4</v>
      </c>
      <c r="D1063" s="3" t="s">
        <v>48</v>
      </c>
      <c r="E1063" s="3" t="s">
        <v>43</v>
      </c>
      <c r="F1063" s="3" t="s">
        <v>49</v>
      </c>
      <c r="G1063" s="3" t="s">
        <v>45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1262</v>
      </c>
      <c r="B1064" s="3" t="s">
        <v>380</v>
      </c>
      <c r="C1064" s="3" t="s">
        <v>4</v>
      </c>
      <c r="D1064" s="3" t="s">
        <v>53</v>
      </c>
      <c r="E1064" s="3" t="s">
        <v>43</v>
      </c>
      <c r="F1064" s="3" t="s">
        <v>49</v>
      </c>
      <c r="G1064" s="3" t="s">
        <v>39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1263</v>
      </c>
      <c r="B1065" s="3" t="s">
        <v>169</v>
      </c>
      <c r="C1065" s="3" t="s">
        <v>4</v>
      </c>
      <c r="D1065" s="3" t="s">
        <v>48</v>
      </c>
      <c r="E1065" s="3" t="s">
        <v>43</v>
      </c>
      <c r="F1065" s="3" t="s">
        <v>44</v>
      </c>
      <c r="G1065" s="3" t="s">
        <v>50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1264</v>
      </c>
      <c r="B1066" s="3" t="s">
        <v>41</v>
      </c>
      <c r="C1066" s="3" t="s">
        <v>4</v>
      </c>
      <c r="D1066" s="3" t="s">
        <v>53</v>
      </c>
      <c r="E1066" s="3" t="s">
        <v>43</v>
      </c>
      <c r="F1066" s="3" t="s">
        <v>68</v>
      </c>
      <c r="G1066" s="3" t="s">
        <v>39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1265</v>
      </c>
      <c r="B1067" s="3" t="s">
        <v>361</v>
      </c>
      <c r="C1067" s="3" t="s">
        <v>4</v>
      </c>
      <c r="D1067" s="3" t="s">
        <v>48</v>
      </c>
      <c r="E1067" s="3" t="s">
        <v>43</v>
      </c>
      <c r="F1067" s="3" t="s">
        <v>65</v>
      </c>
      <c r="G1067" s="3" t="s">
        <v>45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1266</v>
      </c>
      <c r="B1068" s="3" t="s">
        <v>377</v>
      </c>
      <c r="C1068" s="3" t="s">
        <v>4</v>
      </c>
      <c r="D1068" s="3" t="s">
        <v>48</v>
      </c>
      <c r="E1068" s="3" t="s">
        <v>43</v>
      </c>
      <c r="F1068" s="3" t="s">
        <v>49</v>
      </c>
      <c r="G1068" s="3" t="s">
        <v>50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1267</v>
      </c>
      <c r="B1069" s="3" t="s">
        <v>578</v>
      </c>
      <c r="C1069" s="3" t="s">
        <v>4</v>
      </c>
      <c r="D1069" s="3" t="s">
        <v>42</v>
      </c>
      <c r="E1069" s="3" t="s">
        <v>43</v>
      </c>
      <c r="F1069" s="3" t="s">
        <v>65</v>
      </c>
      <c r="G1069" s="3" t="s">
        <v>39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1268</v>
      </c>
      <c r="B1070" s="3" t="s">
        <v>219</v>
      </c>
      <c r="C1070" s="3" t="s">
        <v>4</v>
      </c>
      <c r="D1070" s="3" t="s">
        <v>36</v>
      </c>
      <c r="E1070" s="3" t="s">
        <v>43</v>
      </c>
      <c r="F1070" s="3" t="s">
        <v>44</v>
      </c>
      <c r="G1070" s="3" t="s">
        <v>45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1269</v>
      </c>
      <c r="B1071" s="3" t="s">
        <v>301</v>
      </c>
      <c r="C1071" s="3" t="s">
        <v>4</v>
      </c>
      <c r="D1071" s="3" t="s">
        <v>42</v>
      </c>
      <c r="E1071" s="3" t="s">
        <v>37</v>
      </c>
      <c r="F1071" s="3" t="s">
        <v>49</v>
      </c>
      <c r="G1071" s="3" t="s">
        <v>45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1270</v>
      </c>
      <c r="B1072" s="3" t="s">
        <v>164</v>
      </c>
      <c r="C1072" s="3" t="s">
        <v>4</v>
      </c>
      <c r="D1072" s="3" t="s">
        <v>48</v>
      </c>
      <c r="E1072" s="3" t="s">
        <v>56</v>
      </c>
      <c r="F1072" s="3" t="s">
        <v>65</v>
      </c>
      <c r="G1072" s="3" t="s">
        <v>45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1271</v>
      </c>
      <c r="B1073" s="3" t="s">
        <v>301</v>
      </c>
      <c r="C1073" s="3" t="s">
        <v>4</v>
      </c>
      <c r="D1073" s="3" t="s">
        <v>36</v>
      </c>
      <c r="E1073" s="3" t="s">
        <v>43</v>
      </c>
      <c r="F1073" s="3" t="s">
        <v>44</v>
      </c>
      <c r="G1073" s="3" t="s">
        <v>45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1272</v>
      </c>
      <c r="B1074" s="3" t="s">
        <v>361</v>
      </c>
      <c r="C1074" s="3" t="s">
        <v>4</v>
      </c>
      <c r="D1074" s="3" t="s">
        <v>48</v>
      </c>
      <c r="E1074" s="3" t="s">
        <v>43</v>
      </c>
      <c r="F1074" s="3" t="s">
        <v>65</v>
      </c>
      <c r="G1074" s="3" t="s">
        <v>45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false" outlineLevel="0" collapsed="false">
      <c r="A1075" s="3" t="s">
        <v>1273</v>
      </c>
      <c r="B1075" s="3" t="s">
        <v>97</v>
      </c>
      <c r="C1075" s="3" t="s">
        <v>4</v>
      </c>
      <c r="D1075" s="3" t="s">
        <v>53</v>
      </c>
      <c r="E1075" s="3" t="s">
        <v>37</v>
      </c>
      <c r="F1075" s="3" t="s">
        <v>44</v>
      </c>
      <c r="G1075" s="3" t="s">
        <v>45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1274</v>
      </c>
      <c r="B1076" s="3" t="s">
        <v>259</v>
      </c>
      <c r="C1076" s="3" t="s">
        <v>4</v>
      </c>
      <c r="D1076" s="3" t="s">
        <v>48</v>
      </c>
      <c r="E1076" s="3" t="s">
        <v>43</v>
      </c>
      <c r="F1076" s="3" t="s">
        <v>49</v>
      </c>
      <c r="G1076" s="3" t="s">
        <v>39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1275</v>
      </c>
      <c r="B1077" s="3" t="s">
        <v>106</v>
      </c>
      <c r="C1077" s="3" t="s">
        <v>4</v>
      </c>
      <c r="D1077" s="3" t="s">
        <v>53</v>
      </c>
      <c r="E1077" s="3" t="s">
        <v>43</v>
      </c>
      <c r="F1077" s="3" t="s">
        <v>44</v>
      </c>
      <c r="G1077" s="3" t="s">
        <v>45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1276</v>
      </c>
      <c r="B1078" s="3" t="s">
        <v>41</v>
      </c>
      <c r="C1078" s="3" t="s">
        <v>4</v>
      </c>
      <c r="D1078" s="3" t="s">
        <v>36</v>
      </c>
      <c r="E1078" s="3" t="s">
        <v>56</v>
      </c>
      <c r="F1078" s="3" t="s">
        <v>44</v>
      </c>
      <c r="G1078" s="3" t="s">
        <v>39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1277</v>
      </c>
      <c r="B1079" s="3" t="s">
        <v>146</v>
      </c>
      <c r="C1079" s="3" t="s">
        <v>4</v>
      </c>
      <c r="D1079" s="3" t="s">
        <v>53</v>
      </c>
      <c r="E1079" s="3" t="s">
        <v>43</v>
      </c>
      <c r="F1079" s="3" t="s">
        <v>44</v>
      </c>
      <c r="G1079" s="3" t="s">
        <v>45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1278</v>
      </c>
      <c r="B1080" s="3" t="s">
        <v>171</v>
      </c>
      <c r="C1080" s="3" t="s">
        <v>4</v>
      </c>
      <c r="D1080" s="3" t="s">
        <v>42</v>
      </c>
      <c r="E1080" s="3" t="s">
        <v>43</v>
      </c>
      <c r="F1080" s="3" t="s">
        <v>38</v>
      </c>
      <c r="G1080" s="3" t="s">
        <v>39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1279</v>
      </c>
      <c r="B1081" s="3" t="s">
        <v>446</v>
      </c>
      <c r="C1081" s="3" t="s">
        <v>4</v>
      </c>
      <c r="D1081" s="3" t="s">
        <v>53</v>
      </c>
      <c r="E1081" s="3" t="s">
        <v>43</v>
      </c>
      <c r="F1081" s="3" t="s">
        <v>44</v>
      </c>
      <c r="G1081" s="3" t="s">
        <v>39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1280</v>
      </c>
      <c r="B1082" s="3" t="s">
        <v>131</v>
      </c>
      <c r="C1082" s="3" t="s">
        <v>4</v>
      </c>
      <c r="D1082" s="3" t="s">
        <v>48</v>
      </c>
      <c r="E1082" s="3" t="s">
        <v>43</v>
      </c>
      <c r="F1082" s="3" t="s">
        <v>44</v>
      </c>
      <c r="G1082" s="3" t="s">
        <v>45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1281</v>
      </c>
      <c r="B1083" s="3" t="s">
        <v>70</v>
      </c>
      <c r="C1083" s="3" t="s">
        <v>4</v>
      </c>
      <c r="D1083" s="3" t="s">
        <v>48</v>
      </c>
      <c r="E1083" s="3" t="s">
        <v>43</v>
      </c>
      <c r="F1083" s="3" t="s">
        <v>49</v>
      </c>
      <c r="G1083" s="3" t="s">
        <v>50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1282</v>
      </c>
      <c r="B1084" s="3" t="s">
        <v>464</v>
      </c>
      <c r="C1084" s="3" t="s">
        <v>4</v>
      </c>
      <c r="D1084" s="3" t="s">
        <v>36</v>
      </c>
      <c r="E1084" s="3" t="s">
        <v>43</v>
      </c>
      <c r="F1084" s="3" t="s">
        <v>44</v>
      </c>
      <c r="G1084" s="3" t="s">
        <v>39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1283</v>
      </c>
      <c r="B1085" s="3" t="s">
        <v>166</v>
      </c>
      <c r="C1085" s="3" t="s">
        <v>4</v>
      </c>
      <c r="D1085" s="3" t="s">
        <v>53</v>
      </c>
      <c r="E1085" s="3" t="s">
        <v>43</v>
      </c>
      <c r="F1085" s="3" t="s">
        <v>65</v>
      </c>
      <c r="G1085" s="3" t="s">
        <v>50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1284</v>
      </c>
      <c r="B1086" s="3" t="s">
        <v>192</v>
      </c>
      <c r="C1086" s="3" t="s">
        <v>4</v>
      </c>
      <c r="D1086" s="3" t="s">
        <v>53</v>
      </c>
      <c r="E1086" s="3" t="s">
        <v>43</v>
      </c>
      <c r="F1086" s="3" t="s">
        <v>68</v>
      </c>
      <c r="G1086" s="3" t="s">
        <v>39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1285</v>
      </c>
      <c r="B1087" s="3" t="s">
        <v>373</v>
      </c>
      <c r="C1087" s="3" t="s">
        <v>4</v>
      </c>
      <c r="D1087" s="3" t="s">
        <v>53</v>
      </c>
      <c r="E1087" s="3" t="s">
        <v>43</v>
      </c>
      <c r="F1087" s="3" t="s">
        <v>68</v>
      </c>
      <c r="G1087" s="3" t="s">
        <v>45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1286</v>
      </c>
      <c r="B1088" s="3" t="s">
        <v>368</v>
      </c>
      <c r="C1088" s="3" t="s">
        <v>4</v>
      </c>
      <c r="D1088" s="3" t="s">
        <v>53</v>
      </c>
      <c r="E1088" s="3" t="s">
        <v>43</v>
      </c>
      <c r="F1088" s="3" t="s">
        <v>49</v>
      </c>
      <c r="G1088" s="3" t="s">
        <v>45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1287</v>
      </c>
      <c r="B1089" s="3" t="s">
        <v>254</v>
      </c>
      <c r="C1089" s="3" t="s">
        <v>4</v>
      </c>
      <c r="D1089" s="3" t="s">
        <v>36</v>
      </c>
      <c r="E1089" s="3" t="s">
        <v>56</v>
      </c>
      <c r="F1089" s="3" t="s">
        <v>65</v>
      </c>
      <c r="G1089" s="3" t="s">
        <v>45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1288</v>
      </c>
      <c r="B1090" s="3" t="s">
        <v>464</v>
      </c>
      <c r="C1090" s="3" t="s">
        <v>4</v>
      </c>
      <c r="D1090" s="3" t="s">
        <v>36</v>
      </c>
      <c r="E1090" s="3" t="s">
        <v>43</v>
      </c>
      <c r="F1090" s="3" t="s">
        <v>68</v>
      </c>
      <c r="G1090" s="3" t="s">
        <v>39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1289</v>
      </c>
      <c r="B1091" s="3" t="s">
        <v>371</v>
      </c>
      <c r="C1091" s="3" t="s">
        <v>4</v>
      </c>
      <c r="D1091" s="3" t="s">
        <v>53</v>
      </c>
      <c r="E1091" s="3" t="s">
        <v>37</v>
      </c>
      <c r="F1091" s="3" t="s">
        <v>38</v>
      </c>
      <c r="G1091" s="3" t="s">
        <v>45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1290</v>
      </c>
      <c r="B1092" s="3" t="s">
        <v>271</v>
      </c>
      <c r="C1092" s="3" t="s">
        <v>4</v>
      </c>
      <c r="D1092" s="3" t="s">
        <v>53</v>
      </c>
      <c r="E1092" s="3" t="s">
        <v>43</v>
      </c>
      <c r="F1092" s="3" t="s">
        <v>49</v>
      </c>
      <c r="G1092" s="3" t="s">
        <v>39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1291</v>
      </c>
      <c r="B1093" s="3" t="s">
        <v>319</v>
      </c>
      <c r="C1093" s="3" t="s">
        <v>4</v>
      </c>
      <c r="D1093" s="3" t="s">
        <v>36</v>
      </c>
      <c r="E1093" s="3" t="s">
        <v>43</v>
      </c>
      <c r="F1093" s="3" t="s">
        <v>44</v>
      </c>
      <c r="G1093" s="3" t="s">
        <v>39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1292</v>
      </c>
      <c r="B1094" s="3" t="s">
        <v>246</v>
      </c>
      <c r="C1094" s="3" t="s">
        <v>4</v>
      </c>
      <c r="D1094" s="3" t="s">
        <v>53</v>
      </c>
      <c r="E1094" s="3" t="s">
        <v>37</v>
      </c>
      <c r="F1094" s="3" t="s">
        <v>49</v>
      </c>
      <c r="G1094" s="3" t="s">
        <v>39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1293</v>
      </c>
      <c r="B1095" s="3" t="s">
        <v>869</v>
      </c>
      <c r="C1095" s="3" t="s">
        <v>4</v>
      </c>
      <c r="D1095" s="3" t="s">
        <v>53</v>
      </c>
      <c r="E1095" s="3" t="s">
        <v>56</v>
      </c>
      <c r="F1095" s="3" t="s">
        <v>38</v>
      </c>
      <c r="G1095" s="3" t="s">
        <v>39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1294</v>
      </c>
      <c r="B1096" s="3" t="s">
        <v>125</v>
      </c>
      <c r="C1096" s="3" t="s">
        <v>4</v>
      </c>
      <c r="D1096" s="3" t="s">
        <v>42</v>
      </c>
      <c r="E1096" s="3" t="s">
        <v>43</v>
      </c>
      <c r="F1096" s="3" t="s">
        <v>44</v>
      </c>
      <c r="G1096" s="3" t="s">
        <v>45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1295</v>
      </c>
      <c r="B1097" s="3" t="s">
        <v>141</v>
      </c>
      <c r="C1097" s="3" t="s">
        <v>4</v>
      </c>
      <c r="D1097" s="3" t="s">
        <v>53</v>
      </c>
      <c r="E1097" s="3" t="s">
        <v>56</v>
      </c>
      <c r="F1097" s="3" t="s">
        <v>68</v>
      </c>
      <c r="G1097" s="3" t="s">
        <v>45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1296</v>
      </c>
      <c r="B1098" s="3" t="s">
        <v>248</v>
      </c>
      <c r="C1098" s="3" t="s">
        <v>4</v>
      </c>
      <c r="D1098" s="3" t="s">
        <v>48</v>
      </c>
      <c r="E1098" s="3" t="s">
        <v>37</v>
      </c>
      <c r="F1098" s="3" t="s">
        <v>65</v>
      </c>
      <c r="G1098" s="3" t="s">
        <v>45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1297</v>
      </c>
      <c r="B1099" s="3" t="s">
        <v>959</v>
      </c>
      <c r="C1099" s="3" t="s">
        <v>4</v>
      </c>
      <c r="D1099" s="3" t="s">
        <v>48</v>
      </c>
      <c r="E1099" s="3" t="s">
        <v>43</v>
      </c>
      <c r="F1099" s="3" t="s">
        <v>49</v>
      </c>
      <c r="G1099" s="3" t="s">
        <v>39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1298</v>
      </c>
      <c r="B1100" s="3" t="s">
        <v>786</v>
      </c>
      <c r="C1100" s="3" t="s">
        <v>4</v>
      </c>
      <c r="D1100" s="3" t="s">
        <v>36</v>
      </c>
      <c r="E1100" s="3" t="s">
        <v>43</v>
      </c>
      <c r="F1100" s="3" t="s">
        <v>49</v>
      </c>
      <c r="G1100" s="3" t="s">
        <v>39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false" outlineLevel="0" collapsed="false">
      <c r="A1101" s="3" t="s">
        <v>1299</v>
      </c>
      <c r="B1101" s="3" t="s">
        <v>186</v>
      </c>
      <c r="C1101" s="3" t="s">
        <v>4</v>
      </c>
      <c r="D1101" s="3" t="s">
        <v>48</v>
      </c>
      <c r="E1101" s="3" t="s">
        <v>43</v>
      </c>
      <c r="F1101" s="3" t="s">
        <v>44</v>
      </c>
      <c r="G1101" s="3" t="s">
        <v>50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1300</v>
      </c>
      <c r="B1102" s="3" t="s">
        <v>222</v>
      </c>
      <c r="C1102" s="3" t="s">
        <v>4</v>
      </c>
      <c r="D1102" s="3" t="s">
        <v>53</v>
      </c>
      <c r="E1102" s="3" t="s">
        <v>43</v>
      </c>
      <c r="F1102" s="3" t="s">
        <v>49</v>
      </c>
      <c r="G1102" s="3" t="s">
        <v>45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1301</v>
      </c>
      <c r="B1103" s="3" t="s">
        <v>154</v>
      </c>
      <c r="C1103" s="3" t="s">
        <v>4</v>
      </c>
      <c r="D1103" s="3" t="s">
        <v>36</v>
      </c>
      <c r="E1103" s="3" t="s">
        <v>43</v>
      </c>
      <c r="F1103" s="3" t="s">
        <v>68</v>
      </c>
      <c r="G1103" s="3" t="s">
        <v>50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1302</v>
      </c>
      <c r="B1104" s="3" t="s">
        <v>232</v>
      </c>
      <c r="C1104" s="3" t="s">
        <v>4</v>
      </c>
      <c r="D1104" s="3" t="s">
        <v>53</v>
      </c>
      <c r="E1104" s="3" t="s">
        <v>43</v>
      </c>
      <c r="F1104" s="3" t="s">
        <v>44</v>
      </c>
      <c r="G1104" s="3" t="s">
        <v>39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1303</v>
      </c>
      <c r="B1105" s="3" t="s">
        <v>139</v>
      </c>
      <c r="C1105" s="3" t="s">
        <v>4</v>
      </c>
      <c r="D1105" s="3" t="s">
        <v>48</v>
      </c>
      <c r="E1105" s="3" t="s">
        <v>43</v>
      </c>
      <c r="F1105" s="3" t="s">
        <v>65</v>
      </c>
      <c r="G1105" s="3" t="s">
        <v>45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1304</v>
      </c>
      <c r="B1106" s="3" t="s">
        <v>466</v>
      </c>
      <c r="C1106" s="3" t="s">
        <v>4</v>
      </c>
      <c r="D1106" s="3" t="s">
        <v>42</v>
      </c>
      <c r="E1106" s="3" t="s">
        <v>43</v>
      </c>
      <c r="F1106" s="3" t="s">
        <v>38</v>
      </c>
      <c r="G1106" s="3" t="s">
        <v>39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1305</v>
      </c>
      <c r="B1107" s="3" t="s">
        <v>106</v>
      </c>
      <c r="C1107" s="3" t="s">
        <v>4</v>
      </c>
      <c r="D1107" s="3" t="s">
        <v>36</v>
      </c>
      <c r="E1107" s="3" t="s">
        <v>43</v>
      </c>
      <c r="F1107" s="3" t="s">
        <v>44</v>
      </c>
      <c r="G1107" s="3" t="s">
        <v>39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1306</v>
      </c>
      <c r="B1108" s="3" t="s">
        <v>380</v>
      </c>
      <c r="C1108" s="3" t="s">
        <v>4</v>
      </c>
      <c r="D1108" s="3" t="s">
        <v>36</v>
      </c>
      <c r="E1108" s="3" t="s">
        <v>43</v>
      </c>
      <c r="F1108" s="3" t="s">
        <v>44</v>
      </c>
      <c r="G1108" s="3" t="s">
        <v>45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1307</v>
      </c>
      <c r="B1109" s="3" t="s">
        <v>516</v>
      </c>
      <c r="C1109" s="3" t="s">
        <v>4</v>
      </c>
      <c r="D1109" s="3" t="s">
        <v>53</v>
      </c>
      <c r="E1109" s="3" t="s">
        <v>56</v>
      </c>
      <c r="F1109" s="3" t="s">
        <v>44</v>
      </c>
      <c r="G1109" s="3" t="s">
        <v>39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1308</v>
      </c>
      <c r="B1110" s="3" t="s">
        <v>119</v>
      </c>
      <c r="C1110" s="3" t="s">
        <v>4</v>
      </c>
      <c r="D1110" s="3" t="s">
        <v>36</v>
      </c>
      <c r="E1110" s="3" t="s">
        <v>56</v>
      </c>
      <c r="F1110" s="3" t="s">
        <v>49</v>
      </c>
      <c r="G1110" s="3" t="s">
        <v>45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1309</v>
      </c>
      <c r="B1111" s="3" t="s">
        <v>1065</v>
      </c>
      <c r="C1111" s="3" t="s">
        <v>4</v>
      </c>
      <c r="D1111" s="3" t="s">
        <v>42</v>
      </c>
      <c r="E1111" s="3" t="s">
        <v>37</v>
      </c>
      <c r="F1111" s="3" t="s">
        <v>44</v>
      </c>
      <c r="G1111" s="3" t="s">
        <v>50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1310</v>
      </c>
      <c r="B1112" s="3" t="s">
        <v>285</v>
      </c>
      <c r="C1112" s="3" t="s">
        <v>4</v>
      </c>
      <c r="D1112" s="3" t="s">
        <v>53</v>
      </c>
      <c r="E1112" s="3" t="s">
        <v>43</v>
      </c>
      <c r="F1112" s="3" t="s">
        <v>44</v>
      </c>
      <c r="G1112" s="3" t="s">
        <v>45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1311</v>
      </c>
      <c r="B1113" s="3" t="s">
        <v>959</v>
      </c>
      <c r="C1113" s="3" t="s">
        <v>4</v>
      </c>
      <c r="D1113" s="3" t="s">
        <v>53</v>
      </c>
      <c r="E1113" s="3" t="s">
        <v>43</v>
      </c>
      <c r="F1113" s="3" t="s">
        <v>44</v>
      </c>
      <c r="G1113" s="3" t="s">
        <v>45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1312</v>
      </c>
      <c r="B1114" s="3" t="s">
        <v>281</v>
      </c>
      <c r="C1114" s="3" t="s">
        <v>4</v>
      </c>
      <c r="D1114" s="3" t="s">
        <v>53</v>
      </c>
      <c r="E1114" s="3" t="s">
        <v>43</v>
      </c>
      <c r="F1114" s="3" t="s">
        <v>44</v>
      </c>
      <c r="G1114" s="3" t="s">
        <v>39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1313</v>
      </c>
      <c r="B1115" s="3" t="s">
        <v>125</v>
      </c>
      <c r="C1115" s="3" t="s">
        <v>4</v>
      </c>
      <c r="D1115" s="3" t="s">
        <v>53</v>
      </c>
      <c r="E1115" s="3" t="s">
        <v>43</v>
      </c>
      <c r="F1115" s="3" t="s">
        <v>68</v>
      </c>
      <c r="G1115" s="3" t="s">
        <v>45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1314</v>
      </c>
      <c r="B1116" s="3" t="s">
        <v>594</v>
      </c>
      <c r="C1116" s="3" t="s">
        <v>4</v>
      </c>
      <c r="D1116" s="3" t="s">
        <v>42</v>
      </c>
      <c r="E1116" s="3" t="s">
        <v>43</v>
      </c>
      <c r="F1116" s="3" t="s">
        <v>65</v>
      </c>
      <c r="G1116" s="3" t="s">
        <v>39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1315</v>
      </c>
      <c r="B1117" s="3" t="s">
        <v>144</v>
      </c>
      <c r="C1117" s="3" t="s">
        <v>4</v>
      </c>
      <c r="D1117" s="3" t="s">
        <v>48</v>
      </c>
      <c r="E1117" s="3" t="s">
        <v>43</v>
      </c>
      <c r="F1117" s="3" t="s">
        <v>49</v>
      </c>
      <c r="G1117" s="3" t="s">
        <v>45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1316</v>
      </c>
      <c r="B1118" s="3" t="s">
        <v>252</v>
      </c>
      <c r="C1118" s="3" t="s">
        <v>4</v>
      </c>
      <c r="D1118" s="3" t="s">
        <v>42</v>
      </c>
      <c r="E1118" s="3" t="s">
        <v>43</v>
      </c>
      <c r="F1118" s="3" t="s">
        <v>44</v>
      </c>
      <c r="G1118" s="3" t="s">
        <v>39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1317</v>
      </c>
      <c r="B1119" s="3" t="s">
        <v>156</v>
      </c>
      <c r="C1119" s="3" t="s">
        <v>4</v>
      </c>
      <c r="D1119" s="3" t="s">
        <v>48</v>
      </c>
      <c r="E1119" s="3" t="s">
        <v>43</v>
      </c>
      <c r="F1119" s="3" t="s">
        <v>49</v>
      </c>
      <c r="G1119" s="3" t="s">
        <v>45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1318</v>
      </c>
      <c r="B1120" s="3" t="s">
        <v>237</v>
      </c>
      <c r="C1120" s="3" t="s">
        <v>4</v>
      </c>
      <c r="D1120" s="3" t="s">
        <v>36</v>
      </c>
      <c r="E1120" s="3" t="s">
        <v>37</v>
      </c>
      <c r="F1120" s="3" t="s">
        <v>68</v>
      </c>
      <c r="G1120" s="3" t="s">
        <v>39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1319</v>
      </c>
      <c r="B1121" s="3" t="s">
        <v>457</v>
      </c>
      <c r="C1121" s="3" t="s">
        <v>4</v>
      </c>
      <c r="D1121" s="3" t="s">
        <v>36</v>
      </c>
      <c r="E1121" s="3" t="s">
        <v>43</v>
      </c>
      <c r="F1121" s="3" t="s">
        <v>44</v>
      </c>
      <c r="G1121" s="3" t="s">
        <v>50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1320</v>
      </c>
      <c r="B1122" s="3" t="s">
        <v>75</v>
      </c>
      <c r="C1122" s="3" t="s">
        <v>4</v>
      </c>
      <c r="D1122" s="3" t="s">
        <v>48</v>
      </c>
      <c r="E1122" s="3" t="s">
        <v>43</v>
      </c>
      <c r="F1122" s="3" t="s">
        <v>49</v>
      </c>
      <c r="G1122" s="3" t="s">
        <v>45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1321</v>
      </c>
      <c r="B1123" s="3" t="s">
        <v>173</v>
      </c>
      <c r="C1123" s="3" t="s">
        <v>4</v>
      </c>
      <c r="D1123" s="3" t="s">
        <v>53</v>
      </c>
      <c r="E1123" s="3" t="s">
        <v>56</v>
      </c>
      <c r="F1123" s="3" t="s">
        <v>44</v>
      </c>
      <c r="G1123" s="3" t="s">
        <v>39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1322</v>
      </c>
      <c r="B1124" s="3" t="s">
        <v>104</v>
      </c>
      <c r="C1124" s="3" t="s">
        <v>4</v>
      </c>
      <c r="D1124" s="3" t="s">
        <v>53</v>
      </c>
      <c r="E1124" s="3" t="s">
        <v>37</v>
      </c>
      <c r="F1124" s="3" t="s">
        <v>44</v>
      </c>
      <c r="G1124" s="3" t="s">
        <v>39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1323</v>
      </c>
      <c r="B1125" s="3" t="s">
        <v>285</v>
      </c>
      <c r="C1125" s="3" t="s">
        <v>4</v>
      </c>
      <c r="D1125" s="3" t="s">
        <v>48</v>
      </c>
      <c r="E1125" s="3" t="s">
        <v>43</v>
      </c>
      <c r="F1125" s="3" t="s">
        <v>49</v>
      </c>
      <c r="G1125" s="3" t="s">
        <v>45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1324</v>
      </c>
      <c r="B1126" s="3" t="s">
        <v>112</v>
      </c>
      <c r="C1126" s="3" t="s">
        <v>4</v>
      </c>
      <c r="D1126" s="3" t="s">
        <v>48</v>
      </c>
      <c r="E1126" s="3" t="s">
        <v>37</v>
      </c>
      <c r="F1126" s="3" t="s">
        <v>68</v>
      </c>
      <c r="G1126" s="3" t="s">
        <v>45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1325</v>
      </c>
      <c r="B1127" s="3" t="s">
        <v>368</v>
      </c>
      <c r="C1127" s="3" t="s">
        <v>4</v>
      </c>
      <c r="D1127" s="3" t="s">
        <v>42</v>
      </c>
      <c r="E1127" s="3" t="s">
        <v>37</v>
      </c>
      <c r="F1127" s="3" t="s">
        <v>68</v>
      </c>
      <c r="G1127" s="3" t="s">
        <v>39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1326</v>
      </c>
      <c r="B1128" s="3" t="s">
        <v>95</v>
      </c>
      <c r="C1128" s="3" t="s">
        <v>4</v>
      </c>
      <c r="D1128" s="3" t="s">
        <v>53</v>
      </c>
      <c r="E1128" s="3" t="s">
        <v>43</v>
      </c>
      <c r="F1128" s="3" t="s">
        <v>44</v>
      </c>
      <c r="G1128" s="3" t="s">
        <v>39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1327</v>
      </c>
      <c r="B1129" s="3" t="s">
        <v>361</v>
      </c>
      <c r="C1129" s="3" t="s">
        <v>4</v>
      </c>
      <c r="D1129" s="3" t="s">
        <v>48</v>
      </c>
      <c r="E1129" s="3" t="s">
        <v>43</v>
      </c>
      <c r="F1129" s="3" t="s">
        <v>44</v>
      </c>
      <c r="G1129" s="3" t="s">
        <v>39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1328</v>
      </c>
      <c r="B1130" s="3" t="s">
        <v>190</v>
      </c>
      <c r="C1130" s="3" t="s">
        <v>4</v>
      </c>
      <c r="D1130" s="3" t="s">
        <v>42</v>
      </c>
      <c r="E1130" s="3" t="s">
        <v>43</v>
      </c>
      <c r="F1130" s="3" t="s">
        <v>44</v>
      </c>
      <c r="G1130" s="3" t="s">
        <v>39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1329</v>
      </c>
      <c r="B1131" s="3" t="s">
        <v>869</v>
      </c>
      <c r="C1131" s="3" t="s">
        <v>4</v>
      </c>
      <c r="D1131" s="3" t="s">
        <v>42</v>
      </c>
      <c r="E1131" s="3" t="s">
        <v>43</v>
      </c>
      <c r="F1131" s="3" t="s">
        <v>44</v>
      </c>
      <c r="G1131" s="3" t="s">
        <v>45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1330</v>
      </c>
      <c r="B1132" s="3" t="s">
        <v>459</v>
      </c>
      <c r="C1132" s="3" t="s">
        <v>4</v>
      </c>
      <c r="D1132" s="3" t="s">
        <v>42</v>
      </c>
      <c r="E1132" s="3" t="s">
        <v>37</v>
      </c>
      <c r="F1132" s="3" t="s">
        <v>65</v>
      </c>
      <c r="G1132" s="3" t="s">
        <v>45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1331</v>
      </c>
      <c r="B1133" s="3" t="s">
        <v>139</v>
      </c>
      <c r="C1133" s="3" t="s">
        <v>4</v>
      </c>
      <c r="D1133" s="3" t="s">
        <v>42</v>
      </c>
      <c r="E1133" s="3" t="s">
        <v>43</v>
      </c>
      <c r="F1133" s="3" t="s">
        <v>49</v>
      </c>
      <c r="G1133" s="3" t="s">
        <v>39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1332</v>
      </c>
      <c r="B1134" s="3" t="s">
        <v>373</v>
      </c>
      <c r="C1134" s="3" t="s">
        <v>4</v>
      </c>
      <c r="D1134" s="3" t="s">
        <v>36</v>
      </c>
      <c r="E1134" s="3" t="s">
        <v>37</v>
      </c>
      <c r="F1134" s="3" t="s">
        <v>49</v>
      </c>
      <c r="G1134" s="3" t="s">
        <v>50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1333</v>
      </c>
      <c r="B1135" s="3" t="s">
        <v>377</v>
      </c>
      <c r="C1135" s="3" t="s">
        <v>4</v>
      </c>
      <c r="D1135" s="3" t="s">
        <v>36</v>
      </c>
      <c r="E1135" s="3" t="s">
        <v>43</v>
      </c>
      <c r="F1135" s="3"/>
      <c r="G1135" s="3" t="s">
        <v>39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1334</v>
      </c>
      <c r="B1136" s="3" t="s">
        <v>99</v>
      </c>
      <c r="C1136" s="3" t="s">
        <v>4</v>
      </c>
      <c r="D1136" s="3" t="s">
        <v>48</v>
      </c>
      <c r="E1136" s="3" t="s">
        <v>43</v>
      </c>
      <c r="F1136" s="3" t="s">
        <v>68</v>
      </c>
      <c r="G1136" s="3" t="s">
        <v>39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1335</v>
      </c>
      <c r="B1137" s="3" t="s">
        <v>248</v>
      </c>
      <c r="C1137" s="3" t="s">
        <v>4</v>
      </c>
      <c r="D1137" s="3" t="s">
        <v>48</v>
      </c>
      <c r="E1137" s="3" t="s">
        <v>37</v>
      </c>
      <c r="F1137" s="3" t="s">
        <v>38</v>
      </c>
      <c r="G1137" s="3" t="s">
        <v>50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1336</v>
      </c>
      <c r="B1138" s="3" t="s">
        <v>70</v>
      </c>
      <c r="C1138" s="3" t="s">
        <v>4</v>
      </c>
      <c r="D1138" s="3" t="s">
        <v>53</v>
      </c>
      <c r="E1138" s="3" t="s">
        <v>56</v>
      </c>
      <c r="F1138" s="3" t="s">
        <v>49</v>
      </c>
      <c r="G1138" s="3" t="s">
        <v>39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1337</v>
      </c>
      <c r="B1139" s="3" t="s">
        <v>125</v>
      </c>
      <c r="C1139" s="3" t="s">
        <v>4</v>
      </c>
      <c r="D1139" s="3" t="s">
        <v>42</v>
      </c>
      <c r="E1139" s="3" t="s">
        <v>43</v>
      </c>
      <c r="F1139" s="3" t="s">
        <v>38</v>
      </c>
      <c r="G1139" s="3" t="s">
        <v>45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1338</v>
      </c>
      <c r="B1140" s="3" t="s">
        <v>433</v>
      </c>
      <c r="C1140" s="3" t="s">
        <v>4</v>
      </c>
      <c r="D1140" s="3" t="s">
        <v>53</v>
      </c>
      <c r="E1140" s="3" t="s">
        <v>43</v>
      </c>
      <c r="F1140" s="3" t="s">
        <v>44</v>
      </c>
      <c r="G1140" s="3" t="s">
        <v>45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1339</v>
      </c>
      <c r="B1141" s="3" t="s">
        <v>516</v>
      </c>
      <c r="C1141" s="3" t="s">
        <v>4</v>
      </c>
      <c r="D1141" s="3" t="s">
        <v>42</v>
      </c>
      <c r="E1141" s="3" t="s">
        <v>43</v>
      </c>
      <c r="F1141" s="3" t="s">
        <v>68</v>
      </c>
      <c r="G1141" s="3" t="s">
        <v>45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1340</v>
      </c>
      <c r="B1142" s="3" t="s">
        <v>219</v>
      </c>
      <c r="C1142" s="3" t="s">
        <v>4</v>
      </c>
      <c r="D1142" s="3" t="s">
        <v>53</v>
      </c>
      <c r="E1142" s="3" t="s">
        <v>43</v>
      </c>
      <c r="F1142" s="3" t="s">
        <v>49</v>
      </c>
      <c r="G1142" s="3" t="s">
        <v>45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1341</v>
      </c>
      <c r="B1143" s="3" t="s">
        <v>459</v>
      </c>
      <c r="C1143" s="3" t="s">
        <v>4</v>
      </c>
      <c r="D1143" s="3" t="s">
        <v>48</v>
      </c>
      <c r="E1143" s="3" t="s">
        <v>43</v>
      </c>
      <c r="F1143" s="3" t="s">
        <v>68</v>
      </c>
      <c r="G1143" s="3" t="s">
        <v>39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1342</v>
      </c>
      <c r="B1144" s="3" t="s">
        <v>340</v>
      </c>
      <c r="C1144" s="3" t="s">
        <v>4</v>
      </c>
      <c r="D1144" s="3" t="s">
        <v>48</v>
      </c>
      <c r="E1144" s="3" t="s">
        <v>43</v>
      </c>
      <c r="F1144" s="3" t="s">
        <v>44</v>
      </c>
      <c r="G1144" s="3" t="s">
        <v>45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1343</v>
      </c>
      <c r="B1145" s="3" t="s">
        <v>246</v>
      </c>
      <c r="C1145" s="3" t="s">
        <v>4</v>
      </c>
      <c r="D1145" s="3" t="s">
        <v>36</v>
      </c>
      <c r="E1145" s="3" t="s">
        <v>43</v>
      </c>
      <c r="F1145" s="3" t="s">
        <v>49</v>
      </c>
      <c r="G1145" s="3" t="s">
        <v>45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1344</v>
      </c>
      <c r="B1146" s="3" t="s">
        <v>450</v>
      </c>
      <c r="C1146" s="3" t="s">
        <v>4</v>
      </c>
      <c r="D1146" s="3" t="s">
        <v>42</v>
      </c>
      <c r="E1146" s="3" t="s">
        <v>43</v>
      </c>
      <c r="F1146" s="3" t="s">
        <v>44</v>
      </c>
      <c r="G1146" s="3" t="s">
        <v>45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1345</v>
      </c>
      <c r="B1147" s="3" t="s">
        <v>224</v>
      </c>
      <c r="C1147" s="3" t="s">
        <v>4</v>
      </c>
      <c r="D1147" s="3" t="s">
        <v>36</v>
      </c>
      <c r="E1147" s="3" t="s">
        <v>43</v>
      </c>
      <c r="F1147" s="3" t="s">
        <v>65</v>
      </c>
      <c r="G1147" s="3" t="s">
        <v>45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1346</v>
      </c>
      <c r="B1148" s="3" t="s">
        <v>623</v>
      </c>
      <c r="C1148" s="3" t="s">
        <v>4</v>
      </c>
      <c r="D1148" s="3" t="s">
        <v>53</v>
      </c>
      <c r="E1148" s="3" t="s">
        <v>43</v>
      </c>
      <c r="F1148" s="3" t="s">
        <v>68</v>
      </c>
      <c r="G1148" s="3" t="s">
        <v>50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1347</v>
      </c>
      <c r="B1149" s="3" t="s">
        <v>222</v>
      </c>
      <c r="C1149" s="3" t="s">
        <v>4</v>
      </c>
      <c r="D1149" s="3" t="s">
        <v>48</v>
      </c>
      <c r="E1149" s="3" t="s">
        <v>37</v>
      </c>
      <c r="F1149" s="3"/>
      <c r="G1149" s="3" t="s">
        <v>39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1348</v>
      </c>
      <c r="B1150" s="3" t="s">
        <v>296</v>
      </c>
      <c r="C1150" s="3" t="s">
        <v>4</v>
      </c>
      <c r="D1150" s="3" t="s">
        <v>53</v>
      </c>
      <c r="E1150" s="3" t="s">
        <v>43</v>
      </c>
      <c r="F1150" s="3" t="s">
        <v>44</v>
      </c>
      <c r="G1150" s="3" t="s">
        <v>39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1349</v>
      </c>
      <c r="B1151" s="3" t="s">
        <v>62</v>
      </c>
      <c r="C1151" s="3" t="s">
        <v>4</v>
      </c>
      <c r="D1151" s="3" t="s">
        <v>53</v>
      </c>
      <c r="E1151" s="3" t="s">
        <v>37</v>
      </c>
      <c r="F1151" s="3" t="s">
        <v>49</v>
      </c>
      <c r="G1151" s="3" t="s">
        <v>45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1350</v>
      </c>
      <c r="B1152" s="3" t="s">
        <v>296</v>
      </c>
      <c r="C1152" s="3" t="s">
        <v>4</v>
      </c>
      <c r="D1152" s="3" t="s">
        <v>36</v>
      </c>
      <c r="E1152" s="3" t="s">
        <v>37</v>
      </c>
      <c r="F1152" s="3" t="s">
        <v>65</v>
      </c>
      <c r="G1152" s="3" t="s">
        <v>50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1351</v>
      </c>
      <c r="B1153" s="3" t="s">
        <v>219</v>
      </c>
      <c r="C1153" s="3" t="s">
        <v>4</v>
      </c>
      <c r="D1153" s="3" t="s">
        <v>48</v>
      </c>
      <c r="E1153" s="3" t="s">
        <v>37</v>
      </c>
      <c r="F1153" s="3" t="s">
        <v>44</v>
      </c>
      <c r="G1153" s="3" t="s">
        <v>39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1352</v>
      </c>
      <c r="B1154" s="3" t="s">
        <v>402</v>
      </c>
      <c r="C1154" s="3" t="s">
        <v>4</v>
      </c>
      <c r="D1154" s="3" t="s">
        <v>42</v>
      </c>
      <c r="E1154" s="3" t="s">
        <v>43</v>
      </c>
      <c r="F1154" s="3" t="s">
        <v>68</v>
      </c>
      <c r="G1154" s="3" t="s">
        <v>45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1353</v>
      </c>
      <c r="B1155" s="3" t="s">
        <v>563</v>
      </c>
      <c r="C1155" s="3" t="s">
        <v>4</v>
      </c>
      <c r="D1155" s="3" t="s">
        <v>42</v>
      </c>
      <c r="E1155" s="3" t="s">
        <v>43</v>
      </c>
      <c r="F1155" s="3" t="s">
        <v>44</v>
      </c>
      <c r="G1155" s="3" t="s">
        <v>39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1354</v>
      </c>
      <c r="B1156" s="3" t="s">
        <v>368</v>
      </c>
      <c r="C1156" s="3" t="s">
        <v>4</v>
      </c>
      <c r="D1156" s="3" t="s">
        <v>48</v>
      </c>
      <c r="E1156" s="3" t="s">
        <v>43</v>
      </c>
      <c r="F1156" s="3" t="s">
        <v>44</v>
      </c>
      <c r="G1156" s="3" t="s">
        <v>50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1355</v>
      </c>
      <c r="B1157" s="3" t="s">
        <v>106</v>
      </c>
      <c r="C1157" s="3" t="s">
        <v>4</v>
      </c>
      <c r="D1157" s="3" t="s">
        <v>53</v>
      </c>
      <c r="E1157" s="3" t="s">
        <v>43</v>
      </c>
      <c r="F1157" s="3" t="s">
        <v>38</v>
      </c>
      <c r="G1157" s="3" t="s">
        <v>45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1356</v>
      </c>
      <c r="B1158" s="3" t="s">
        <v>229</v>
      </c>
      <c r="C1158" s="3" t="s">
        <v>4</v>
      </c>
      <c r="D1158" s="3" t="s">
        <v>42</v>
      </c>
      <c r="E1158" s="3" t="s">
        <v>43</v>
      </c>
      <c r="F1158" s="3" t="s">
        <v>65</v>
      </c>
      <c r="G1158" s="3" t="s">
        <v>45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1357</v>
      </c>
      <c r="B1159" s="3" t="s">
        <v>41</v>
      </c>
      <c r="C1159" s="3" t="s">
        <v>4</v>
      </c>
      <c r="D1159" s="3" t="s">
        <v>53</v>
      </c>
      <c r="E1159" s="3" t="s">
        <v>43</v>
      </c>
      <c r="F1159" s="3" t="s">
        <v>49</v>
      </c>
      <c r="G1159" s="3" t="s">
        <v>45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1358</v>
      </c>
      <c r="B1160" s="3" t="s">
        <v>334</v>
      </c>
      <c r="C1160" s="3" t="s">
        <v>4</v>
      </c>
      <c r="D1160" s="3" t="s">
        <v>42</v>
      </c>
      <c r="E1160" s="3" t="s">
        <v>43</v>
      </c>
      <c r="F1160" s="3" t="s">
        <v>38</v>
      </c>
      <c r="G1160" s="3" t="s">
        <v>39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1359</v>
      </c>
      <c r="B1161" s="3" t="s">
        <v>371</v>
      </c>
      <c r="C1161" s="3" t="s">
        <v>4</v>
      </c>
      <c r="D1161" s="3" t="s">
        <v>42</v>
      </c>
      <c r="E1161" s="3" t="s">
        <v>43</v>
      </c>
      <c r="F1161" s="3" t="s">
        <v>44</v>
      </c>
      <c r="G1161" s="3" t="s">
        <v>45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1360</v>
      </c>
      <c r="B1162" s="3" t="s">
        <v>361</v>
      </c>
      <c r="C1162" s="3" t="s">
        <v>4</v>
      </c>
      <c r="D1162" s="3" t="s">
        <v>53</v>
      </c>
      <c r="E1162" s="3" t="s">
        <v>43</v>
      </c>
      <c r="F1162" s="3" t="s">
        <v>49</v>
      </c>
      <c r="G1162" s="3" t="s">
        <v>39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1361</v>
      </c>
      <c r="B1163" s="3" t="s">
        <v>81</v>
      </c>
      <c r="C1163" s="3" t="s">
        <v>4</v>
      </c>
      <c r="D1163" s="3" t="s">
        <v>53</v>
      </c>
      <c r="E1163" s="3" t="s">
        <v>43</v>
      </c>
      <c r="F1163" s="3" t="s">
        <v>49</v>
      </c>
      <c r="G1163" s="3" t="s">
        <v>45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1362</v>
      </c>
      <c r="B1164" s="3" t="s">
        <v>246</v>
      </c>
      <c r="C1164" s="3" t="s">
        <v>4</v>
      </c>
      <c r="D1164" s="3" t="s">
        <v>42</v>
      </c>
      <c r="E1164" s="3" t="s">
        <v>43</v>
      </c>
      <c r="F1164" s="3" t="s">
        <v>68</v>
      </c>
      <c r="G1164" s="3" t="s">
        <v>45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1363</v>
      </c>
      <c r="B1165" s="3" t="s">
        <v>578</v>
      </c>
      <c r="C1165" s="3" t="s">
        <v>4</v>
      </c>
      <c r="D1165" s="3" t="s">
        <v>36</v>
      </c>
      <c r="E1165" s="3" t="s">
        <v>43</v>
      </c>
      <c r="F1165" s="3" t="s">
        <v>49</v>
      </c>
      <c r="G1165" s="3" t="s">
        <v>45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1364</v>
      </c>
      <c r="B1166" s="3" t="s">
        <v>402</v>
      </c>
      <c r="C1166" s="3" t="s">
        <v>4</v>
      </c>
      <c r="D1166" s="3" t="s">
        <v>42</v>
      </c>
      <c r="E1166" s="3" t="s">
        <v>37</v>
      </c>
      <c r="F1166" s="3" t="s">
        <v>44</v>
      </c>
      <c r="G1166" s="3" t="s">
        <v>39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1365</v>
      </c>
      <c r="B1167" s="3" t="s">
        <v>959</v>
      </c>
      <c r="C1167" s="3" t="s">
        <v>4</v>
      </c>
      <c r="D1167" s="3" t="s">
        <v>53</v>
      </c>
      <c r="E1167" s="3" t="s">
        <v>56</v>
      </c>
      <c r="F1167" s="3" t="s">
        <v>44</v>
      </c>
      <c r="G1167" s="3" t="s">
        <v>39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1366</v>
      </c>
      <c r="B1168" s="3" t="s">
        <v>93</v>
      </c>
      <c r="C1168" s="3" t="s">
        <v>4</v>
      </c>
      <c r="D1168" s="3" t="s">
        <v>48</v>
      </c>
      <c r="E1168" s="3" t="s">
        <v>43</v>
      </c>
      <c r="F1168" s="3" t="s">
        <v>49</v>
      </c>
      <c r="G1168" s="3" t="s">
        <v>45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1367</v>
      </c>
      <c r="B1169" s="3" t="s">
        <v>380</v>
      </c>
      <c r="C1169" s="3" t="s">
        <v>4</v>
      </c>
      <c r="D1169" s="3" t="s">
        <v>42</v>
      </c>
      <c r="E1169" s="3" t="s">
        <v>43</v>
      </c>
      <c r="F1169" s="3" t="s">
        <v>65</v>
      </c>
      <c r="G1169" s="3" t="s">
        <v>50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1368</v>
      </c>
      <c r="B1170" s="3" t="s">
        <v>322</v>
      </c>
      <c r="C1170" s="3" t="s">
        <v>4</v>
      </c>
      <c r="D1170" s="3" t="s">
        <v>53</v>
      </c>
      <c r="E1170" s="3" t="s">
        <v>43</v>
      </c>
      <c r="F1170" s="3" t="s">
        <v>68</v>
      </c>
      <c r="G1170" s="3" t="s">
        <v>45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1369</v>
      </c>
      <c r="B1171" s="3" t="s">
        <v>428</v>
      </c>
      <c r="C1171" s="3" t="s">
        <v>4</v>
      </c>
      <c r="D1171" s="3" t="s">
        <v>42</v>
      </c>
      <c r="E1171" s="3" t="s">
        <v>43</v>
      </c>
      <c r="F1171" s="3" t="s">
        <v>65</v>
      </c>
      <c r="G1171" s="3" t="s">
        <v>45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1370</v>
      </c>
      <c r="B1172" s="3" t="s">
        <v>192</v>
      </c>
      <c r="C1172" s="3" t="s">
        <v>4</v>
      </c>
      <c r="D1172" s="3" t="s">
        <v>36</v>
      </c>
      <c r="E1172" s="3" t="s">
        <v>43</v>
      </c>
      <c r="F1172" s="3" t="s">
        <v>44</v>
      </c>
      <c r="G1172" s="3" t="s">
        <v>50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1371</v>
      </c>
      <c r="B1173" s="3" t="s">
        <v>205</v>
      </c>
      <c r="C1173" s="3" t="s">
        <v>4</v>
      </c>
      <c r="D1173" s="3" t="s">
        <v>36</v>
      </c>
      <c r="E1173" s="3" t="s">
        <v>37</v>
      </c>
      <c r="F1173" s="3" t="s">
        <v>68</v>
      </c>
      <c r="G1173" s="3" t="s">
        <v>45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1372</v>
      </c>
      <c r="B1174" s="3" t="s">
        <v>421</v>
      </c>
      <c r="C1174" s="3" t="s">
        <v>4</v>
      </c>
      <c r="D1174" s="3" t="s">
        <v>42</v>
      </c>
      <c r="E1174" s="3" t="s">
        <v>43</v>
      </c>
      <c r="F1174" s="3" t="s">
        <v>65</v>
      </c>
      <c r="G1174" s="3" t="s">
        <v>39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1373</v>
      </c>
      <c r="B1175" s="3" t="s">
        <v>248</v>
      </c>
      <c r="C1175" s="3" t="s">
        <v>4</v>
      </c>
      <c r="D1175" s="3" t="s">
        <v>53</v>
      </c>
      <c r="E1175" s="3" t="s">
        <v>43</v>
      </c>
      <c r="F1175" s="3" t="s">
        <v>38</v>
      </c>
      <c r="G1175" s="3" t="s">
        <v>45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1374</v>
      </c>
      <c r="B1176" s="3" t="s">
        <v>530</v>
      </c>
      <c r="C1176" s="3" t="s">
        <v>4</v>
      </c>
      <c r="D1176" s="3" t="s">
        <v>53</v>
      </c>
      <c r="E1176" s="3" t="s">
        <v>56</v>
      </c>
      <c r="F1176" s="3" t="s">
        <v>44</v>
      </c>
      <c r="G1176" s="3" t="s">
        <v>45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1375</v>
      </c>
      <c r="B1177" s="3" t="s">
        <v>464</v>
      </c>
      <c r="C1177" s="3" t="s">
        <v>4</v>
      </c>
      <c r="D1177" s="3" t="s">
        <v>42</v>
      </c>
      <c r="E1177" s="3" t="s">
        <v>37</v>
      </c>
      <c r="F1177" s="3" t="s">
        <v>44</v>
      </c>
      <c r="G1177" s="3" t="s">
        <v>45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1376</v>
      </c>
      <c r="B1178" s="3" t="s">
        <v>152</v>
      </c>
      <c r="C1178" s="3" t="s">
        <v>4</v>
      </c>
      <c r="D1178" s="3" t="s">
        <v>48</v>
      </c>
      <c r="E1178" s="3"/>
      <c r="F1178" s="3" t="s">
        <v>49</v>
      </c>
      <c r="G1178" s="3" t="s">
        <v>39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1377</v>
      </c>
      <c r="B1179" s="3" t="s">
        <v>188</v>
      </c>
      <c r="C1179" s="3" t="s">
        <v>4</v>
      </c>
      <c r="D1179" s="3" t="s">
        <v>36</v>
      </c>
      <c r="E1179" s="3" t="s">
        <v>43</v>
      </c>
      <c r="F1179" s="3" t="s">
        <v>49</v>
      </c>
      <c r="G1179" s="3" t="s">
        <v>45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1378</v>
      </c>
      <c r="B1180" s="3" t="s">
        <v>457</v>
      </c>
      <c r="C1180" s="3" t="s">
        <v>4</v>
      </c>
      <c r="D1180" s="3" t="s">
        <v>42</v>
      </c>
      <c r="E1180" s="3" t="s">
        <v>37</v>
      </c>
      <c r="F1180" s="3" t="s">
        <v>49</v>
      </c>
      <c r="G1180" s="3" t="s">
        <v>45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1379</v>
      </c>
      <c r="B1181" s="3" t="s">
        <v>232</v>
      </c>
      <c r="C1181" s="3" t="s">
        <v>4</v>
      </c>
      <c r="D1181" s="3" t="s">
        <v>36</v>
      </c>
      <c r="E1181" s="3" t="s">
        <v>37</v>
      </c>
      <c r="F1181" s="3" t="s">
        <v>49</v>
      </c>
      <c r="G1181" s="3" t="s">
        <v>45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1380</v>
      </c>
      <c r="B1182" s="3" t="s">
        <v>224</v>
      </c>
      <c r="C1182" s="3" t="s">
        <v>4</v>
      </c>
      <c r="D1182" s="3" t="s">
        <v>53</v>
      </c>
      <c r="E1182" s="3" t="s">
        <v>37</v>
      </c>
      <c r="F1182" s="3" t="s">
        <v>49</v>
      </c>
      <c r="G1182" s="3" t="s">
        <v>45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1381</v>
      </c>
      <c r="B1183" s="3" t="s">
        <v>368</v>
      </c>
      <c r="C1183" s="3" t="s">
        <v>4</v>
      </c>
      <c r="D1183" s="3" t="s">
        <v>48</v>
      </c>
      <c r="E1183" s="3" t="s">
        <v>56</v>
      </c>
      <c r="F1183" s="3" t="s">
        <v>68</v>
      </c>
      <c r="G1183" s="3" t="s">
        <v>50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1382</v>
      </c>
      <c r="B1184" s="3" t="s">
        <v>281</v>
      </c>
      <c r="C1184" s="3" t="s">
        <v>4</v>
      </c>
      <c r="D1184" s="3" t="s">
        <v>36</v>
      </c>
      <c r="E1184" s="3" t="s">
        <v>37</v>
      </c>
      <c r="F1184" s="3" t="s">
        <v>49</v>
      </c>
      <c r="G1184" s="3" t="s">
        <v>45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1383</v>
      </c>
      <c r="B1185" s="3" t="s">
        <v>425</v>
      </c>
      <c r="C1185" s="3" t="s">
        <v>4</v>
      </c>
      <c r="D1185" s="3" t="s">
        <v>42</v>
      </c>
      <c r="E1185" s="3" t="s">
        <v>43</v>
      </c>
      <c r="F1185" s="3" t="s">
        <v>44</v>
      </c>
      <c r="G1185" s="3" t="s">
        <v>39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1384</v>
      </c>
      <c r="B1186" s="3" t="s">
        <v>91</v>
      </c>
      <c r="C1186" s="3" t="s">
        <v>4</v>
      </c>
      <c r="D1186" s="3" t="s">
        <v>36</v>
      </c>
      <c r="E1186" s="3" t="s">
        <v>43</v>
      </c>
      <c r="F1186" s="3" t="s">
        <v>44</v>
      </c>
      <c r="G1186" s="3" t="s">
        <v>50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1385</v>
      </c>
      <c r="B1187" s="3" t="s">
        <v>171</v>
      </c>
      <c r="C1187" s="3" t="s">
        <v>4</v>
      </c>
      <c r="D1187" s="3" t="s">
        <v>36</v>
      </c>
      <c r="E1187" s="3" t="s">
        <v>37</v>
      </c>
      <c r="F1187" s="3" t="s">
        <v>49</v>
      </c>
      <c r="G1187" s="3" t="s">
        <v>39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1386</v>
      </c>
      <c r="B1188" s="3" t="s">
        <v>979</v>
      </c>
      <c r="C1188" s="3" t="s">
        <v>4</v>
      </c>
      <c r="D1188" s="3" t="s">
        <v>42</v>
      </c>
      <c r="E1188" s="3" t="s">
        <v>37</v>
      </c>
      <c r="F1188" s="3" t="s">
        <v>38</v>
      </c>
      <c r="G1188" s="3" t="s">
        <v>45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1387</v>
      </c>
      <c r="B1189" s="3" t="s">
        <v>340</v>
      </c>
      <c r="C1189" s="3" t="s">
        <v>4</v>
      </c>
      <c r="D1189" s="3" t="s">
        <v>36</v>
      </c>
      <c r="E1189" s="3" t="s">
        <v>43</v>
      </c>
      <c r="F1189" s="3" t="s">
        <v>49</v>
      </c>
      <c r="G1189" s="3" t="s">
        <v>45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1388</v>
      </c>
      <c r="B1190" s="3" t="s">
        <v>199</v>
      </c>
      <c r="C1190" s="3" t="s">
        <v>4</v>
      </c>
      <c r="D1190" s="3" t="s">
        <v>48</v>
      </c>
      <c r="E1190" s="3"/>
      <c r="F1190" s="3" t="s">
        <v>65</v>
      </c>
      <c r="G1190" s="3" t="s">
        <v>45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1389</v>
      </c>
      <c r="B1191" s="3" t="s">
        <v>474</v>
      </c>
      <c r="C1191" s="3" t="s">
        <v>4</v>
      </c>
      <c r="D1191" s="3" t="s">
        <v>48</v>
      </c>
      <c r="E1191" s="3" t="s">
        <v>37</v>
      </c>
      <c r="F1191" s="3" t="s">
        <v>49</v>
      </c>
      <c r="G1191" s="3" t="s">
        <v>45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1390</v>
      </c>
      <c r="B1192" s="3" t="s">
        <v>186</v>
      </c>
      <c r="C1192" s="3" t="s">
        <v>4</v>
      </c>
      <c r="D1192" s="3" t="s">
        <v>53</v>
      </c>
      <c r="E1192" s="3" t="s">
        <v>37</v>
      </c>
      <c r="F1192" s="3" t="s">
        <v>65</v>
      </c>
      <c r="G1192" s="3" t="s">
        <v>50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1391</v>
      </c>
      <c r="B1193" s="3" t="s">
        <v>70</v>
      </c>
      <c r="C1193" s="3" t="s">
        <v>4</v>
      </c>
      <c r="D1193" s="3" t="s">
        <v>53</v>
      </c>
      <c r="E1193" s="3" t="s">
        <v>43</v>
      </c>
      <c r="F1193" s="3" t="s">
        <v>44</v>
      </c>
      <c r="G1193" s="3" t="s">
        <v>39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1392</v>
      </c>
      <c r="B1194" s="3" t="s">
        <v>279</v>
      </c>
      <c r="C1194" s="3" t="s">
        <v>4</v>
      </c>
      <c r="D1194" s="3" t="s">
        <v>42</v>
      </c>
      <c r="E1194" s="3" t="s">
        <v>43</v>
      </c>
      <c r="F1194" s="3" t="s">
        <v>68</v>
      </c>
      <c r="G1194" s="3" t="s">
        <v>50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1393</v>
      </c>
      <c r="B1195" s="3" t="s">
        <v>112</v>
      </c>
      <c r="C1195" s="3" t="s">
        <v>4</v>
      </c>
      <c r="D1195" s="3" t="s">
        <v>36</v>
      </c>
      <c r="E1195" s="3" t="s">
        <v>43</v>
      </c>
      <c r="F1195" s="3" t="s">
        <v>68</v>
      </c>
      <c r="G1195" s="3" t="s">
        <v>39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1394</v>
      </c>
      <c r="B1196" s="3" t="s">
        <v>60</v>
      </c>
      <c r="C1196" s="3" t="s">
        <v>4</v>
      </c>
      <c r="D1196" s="3" t="s">
        <v>48</v>
      </c>
      <c r="E1196" s="3" t="s">
        <v>37</v>
      </c>
      <c r="F1196" s="3" t="s">
        <v>49</v>
      </c>
      <c r="G1196" s="3" t="s">
        <v>50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1395</v>
      </c>
      <c r="B1197" s="3" t="s">
        <v>97</v>
      </c>
      <c r="C1197" s="3" t="s">
        <v>4</v>
      </c>
      <c r="D1197" s="3" t="s">
        <v>36</v>
      </c>
      <c r="E1197" s="3"/>
      <c r="F1197" s="3" t="s">
        <v>68</v>
      </c>
      <c r="G1197" s="3" t="s">
        <v>45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1396</v>
      </c>
      <c r="B1198" s="3" t="s">
        <v>322</v>
      </c>
      <c r="C1198" s="3" t="s">
        <v>4</v>
      </c>
      <c r="D1198" s="3" t="s">
        <v>53</v>
      </c>
      <c r="E1198" s="3" t="s">
        <v>43</v>
      </c>
      <c r="F1198" s="3" t="s">
        <v>44</v>
      </c>
      <c r="G1198" s="3" t="s">
        <v>45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1397</v>
      </c>
      <c r="B1199" s="3" t="s">
        <v>421</v>
      </c>
      <c r="C1199" s="3" t="s">
        <v>4</v>
      </c>
      <c r="D1199" s="3" t="s">
        <v>53</v>
      </c>
      <c r="E1199" s="3" t="s">
        <v>56</v>
      </c>
      <c r="F1199" s="3" t="s">
        <v>49</v>
      </c>
      <c r="G1199" s="3" t="s">
        <v>45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1398</v>
      </c>
      <c r="B1200" s="3" t="s">
        <v>1065</v>
      </c>
      <c r="C1200" s="3" t="s">
        <v>4</v>
      </c>
      <c r="D1200" s="3" t="s">
        <v>42</v>
      </c>
      <c r="E1200" s="3" t="s">
        <v>43</v>
      </c>
      <c r="F1200" s="3" t="s">
        <v>65</v>
      </c>
      <c r="G1200" s="3" t="s">
        <v>39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1399</v>
      </c>
      <c r="B1201" s="3" t="s">
        <v>222</v>
      </c>
      <c r="C1201" s="3" t="s">
        <v>4</v>
      </c>
      <c r="D1201" s="3" t="s">
        <v>36</v>
      </c>
      <c r="E1201" s="3" t="s">
        <v>43</v>
      </c>
      <c r="F1201" s="3" t="s">
        <v>65</v>
      </c>
      <c r="G1201" s="3" t="s">
        <v>45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1400</v>
      </c>
      <c r="B1202" s="3" t="s">
        <v>273</v>
      </c>
      <c r="C1202" s="3" t="s">
        <v>4</v>
      </c>
      <c r="D1202" s="3" t="s">
        <v>48</v>
      </c>
      <c r="E1202" s="3" t="s">
        <v>43</v>
      </c>
      <c r="F1202" s="3" t="s">
        <v>49</v>
      </c>
      <c r="G1202" s="3" t="s">
        <v>39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1401</v>
      </c>
      <c r="B1203" s="3" t="s">
        <v>285</v>
      </c>
      <c r="C1203" s="3" t="s">
        <v>4</v>
      </c>
      <c r="D1203" s="3" t="s">
        <v>42</v>
      </c>
      <c r="E1203" s="3" t="s">
        <v>43</v>
      </c>
      <c r="F1203" s="3" t="s">
        <v>44</v>
      </c>
      <c r="G1203" s="3" t="s">
        <v>39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1402</v>
      </c>
      <c r="B1204" s="3" t="s">
        <v>207</v>
      </c>
      <c r="C1204" s="3" t="s">
        <v>4</v>
      </c>
      <c r="D1204" s="3" t="s">
        <v>48</v>
      </c>
      <c r="E1204" s="3" t="s">
        <v>37</v>
      </c>
      <c r="F1204" s="3" t="s">
        <v>49</v>
      </c>
      <c r="G1204" s="3" t="s">
        <v>45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1403</v>
      </c>
      <c r="B1205" s="3" t="s">
        <v>459</v>
      </c>
      <c r="C1205" s="3" t="s">
        <v>4</v>
      </c>
      <c r="D1205" s="3" t="s">
        <v>42</v>
      </c>
      <c r="E1205" s="3" t="s">
        <v>43</v>
      </c>
      <c r="F1205" s="3" t="s">
        <v>65</v>
      </c>
      <c r="G1205" s="3" t="s">
        <v>50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1404</v>
      </c>
      <c r="B1206" s="3" t="s">
        <v>89</v>
      </c>
      <c r="C1206" s="3" t="s">
        <v>4</v>
      </c>
      <c r="D1206" s="3" t="s">
        <v>36</v>
      </c>
      <c r="E1206" s="3" t="s">
        <v>43</v>
      </c>
      <c r="F1206" s="3" t="s">
        <v>68</v>
      </c>
      <c r="G1206" s="3" t="s">
        <v>50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1405</v>
      </c>
      <c r="B1207" s="3" t="s">
        <v>125</v>
      </c>
      <c r="C1207" s="3" t="s">
        <v>4</v>
      </c>
      <c r="D1207" s="3" t="s">
        <v>48</v>
      </c>
      <c r="E1207" s="3" t="s">
        <v>43</v>
      </c>
      <c r="F1207" s="3" t="s">
        <v>68</v>
      </c>
      <c r="G1207" s="3" t="s">
        <v>45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1406</v>
      </c>
      <c r="B1208" s="3" t="s">
        <v>182</v>
      </c>
      <c r="C1208" s="3" t="s">
        <v>4</v>
      </c>
      <c r="D1208" s="3" t="s">
        <v>36</v>
      </c>
      <c r="E1208" s="3" t="s">
        <v>43</v>
      </c>
      <c r="F1208" s="3" t="s">
        <v>44</v>
      </c>
      <c r="G1208" s="3" t="s">
        <v>45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1407</v>
      </c>
      <c r="B1209" s="3" t="s">
        <v>596</v>
      </c>
      <c r="C1209" s="3" t="s">
        <v>4</v>
      </c>
      <c r="D1209" s="3" t="s">
        <v>42</v>
      </c>
      <c r="E1209" s="3" t="s">
        <v>37</v>
      </c>
      <c r="F1209" s="3" t="s">
        <v>68</v>
      </c>
      <c r="G1209" s="3" t="s">
        <v>39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1408</v>
      </c>
      <c r="B1210" s="3" t="s">
        <v>60</v>
      </c>
      <c r="C1210" s="3" t="s">
        <v>4</v>
      </c>
      <c r="D1210" s="3" t="s">
        <v>48</v>
      </c>
      <c r="E1210" s="3" t="s">
        <v>56</v>
      </c>
      <c r="F1210" s="3" t="s">
        <v>44</v>
      </c>
      <c r="G1210" s="3" t="s">
        <v>39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1409</v>
      </c>
      <c r="B1211" s="3" t="s">
        <v>578</v>
      </c>
      <c r="C1211" s="3" t="s">
        <v>4</v>
      </c>
      <c r="D1211" s="3" t="s">
        <v>42</v>
      </c>
      <c r="E1211" s="3" t="s">
        <v>43</v>
      </c>
      <c r="F1211" s="3" t="s">
        <v>44</v>
      </c>
      <c r="G1211" s="3" t="s">
        <v>39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1410</v>
      </c>
      <c r="B1212" s="3" t="s">
        <v>67</v>
      </c>
      <c r="C1212" s="3" t="s">
        <v>4</v>
      </c>
      <c r="D1212" s="3" t="s">
        <v>53</v>
      </c>
      <c r="E1212" s="3" t="s">
        <v>43</v>
      </c>
      <c r="F1212" s="3" t="s">
        <v>44</v>
      </c>
      <c r="G1212" s="3" t="s">
        <v>45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1411</v>
      </c>
      <c r="B1213" s="3" t="s">
        <v>77</v>
      </c>
      <c r="C1213" s="3" t="s">
        <v>4</v>
      </c>
      <c r="D1213" s="3" t="s">
        <v>36</v>
      </c>
      <c r="E1213" s="3" t="s">
        <v>43</v>
      </c>
      <c r="F1213" s="3" t="s">
        <v>38</v>
      </c>
      <c r="G1213" s="3" t="s">
        <v>39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1412</v>
      </c>
      <c r="B1214" s="3" t="s">
        <v>371</v>
      </c>
      <c r="C1214" s="3" t="s">
        <v>4</v>
      </c>
      <c r="D1214" s="3" t="s">
        <v>36</v>
      </c>
      <c r="E1214" s="3" t="s">
        <v>37</v>
      </c>
      <c r="F1214" s="3" t="s">
        <v>44</v>
      </c>
      <c r="G1214" s="3" t="s">
        <v>50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1413</v>
      </c>
      <c r="B1215" s="3" t="s">
        <v>271</v>
      </c>
      <c r="C1215" s="3" t="s">
        <v>4</v>
      </c>
      <c r="D1215" s="3" t="s">
        <v>53</v>
      </c>
      <c r="E1215" s="3" t="s">
        <v>43</v>
      </c>
      <c r="F1215" s="3" t="s">
        <v>44</v>
      </c>
      <c r="G1215" s="3" t="s">
        <v>39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1414</v>
      </c>
      <c r="B1216" s="3" t="s">
        <v>131</v>
      </c>
      <c r="C1216" s="3" t="s">
        <v>4</v>
      </c>
      <c r="D1216" s="3" t="s">
        <v>53</v>
      </c>
      <c r="E1216" s="3" t="s">
        <v>43</v>
      </c>
      <c r="F1216" s="3" t="s">
        <v>44</v>
      </c>
      <c r="G1216" s="3" t="s">
        <v>39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1415</v>
      </c>
      <c r="B1217" s="3" t="s">
        <v>154</v>
      </c>
      <c r="C1217" s="3" t="s">
        <v>4</v>
      </c>
      <c r="D1217" s="3" t="s">
        <v>36</v>
      </c>
      <c r="E1217" s="3" t="s">
        <v>43</v>
      </c>
      <c r="F1217" s="3" t="s">
        <v>65</v>
      </c>
      <c r="G1217" s="3" t="s">
        <v>39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1416</v>
      </c>
      <c r="B1218" s="3" t="s">
        <v>58</v>
      </c>
      <c r="C1218" s="3" t="s">
        <v>4</v>
      </c>
      <c r="D1218" s="3" t="s">
        <v>48</v>
      </c>
      <c r="E1218" s="3" t="s">
        <v>56</v>
      </c>
      <c r="F1218" s="3" t="s">
        <v>65</v>
      </c>
      <c r="G1218" s="3" t="s">
        <v>39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1417</v>
      </c>
      <c r="B1219" s="3" t="s">
        <v>192</v>
      </c>
      <c r="C1219" s="3" t="s">
        <v>4</v>
      </c>
      <c r="D1219" s="3" t="s">
        <v>36</v>
      </c>
      <c r="E1219" s="3" t="s">
        <v>43</v>
      </c>
      <c r="F1219" s="3" t="s">
        <v>44</v>
      </c>
      <c r="G1219" s="3" t="s">
        <v>39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1418</v>
      </c>
      <c r="B1220" s="3" t="s">
        <v>450</v>
      </c>
      <c r="C1220" s="3" t="s">
        <v>4</v>
      </c>
      <c r="D1220" s="3" t="s">
        <v>42</v>
      </c>
      <c r="E1220" s="3" t="s">
        <v>37</v>
      </c>
      <c r="F1220" s="3" t="s">
        <v>44</v>
      </c>
      <c r="G1220" s="3" t="s">
        <v>45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1419</v>
      </c>
      <c r="B1221" s="3" t="s">
        <v>368</v>
      </c>
      <c r="C1221" s="3" t="s">
        <v>4</v>
      </c>
      <c r="D1221" s="3" t="s">
        <v>53</v>
      </c>
      <c r="E1221" s="3" t="s">
        <v>43</v>
      </c>
      <c r="F1221" s="3" t="s">
        <v>49</v>
      </c>
      <c r="G1221" s="3" t="s">
        <v>45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1420</v>
      </c>
      <c r="B1222" s="3" t="s">
        <v>399</v>
      </c>
      <c r="C1222" s="3" t="s">
        <v>4</v>
      </c>
      <c r="D1222" s="3" t="s">
        <v>36</v>
      </c>
      <c r="E1222" s="3" t="s">
        <v>43</v>
      </c>
      <c r="F1222" s="3" t="s">
        <v>68</v>
      </c>
      <c r="G1222" s="3" t="s">
        <v>45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1421</v>
      </c>
      <c r="B1223" s="3" t="s">
        <v>129</v>
      </c>
      <c r="C1223" s="3" t="s">
        <v>4</v>
      </c>
      <c r="D1223" s="3" t="s">
        <v>53</v>
      </c>
      <c r="E1223" s="3" t="s">
        <v>37</v>
      </c>
      <c r="F1223" s="3" t="s">
        <v>65</v>
      </c>
      <c r="G1223" s="3" t="s">
        <v>45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1422</v>
      </c>
      <c r="B1224" s="3" t="s">
        <v>806</v>
      </c>
      <c r="C1224" s="3" t="s">
        <v>4</v>
      </c>
      <c r="D1224" s="3" t="s">
        <v>42</v>
      </c>
      <c r="E1224" s="3" t="s">
        <v>43</v>
      </c>
      <c r="F1224" s="3" t="s">
        <v>44</v>
      </c>
      <c r="G1224" s="3" t="s">
        <v>45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1423</v>
      </c>
      <c r="B1225" s="3" t="s">
        <v>73</v>
      </c>
      <c r="C1225" s="3" t="s">
        <v>4</v>
      </c>
      <c r="D1225" s="3" t="s">
        <v>36</v>
      </c>
      <c r="E1225" s="3" t="s">
        <v>43</v>
      </c>
      <c r="F1225" s="3" t="s">
        <v>49</v>
      </c>
      <c r="G1225" s="3" t="s">
        <v>39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1424</v>
      </c>
      <c r="B1226" s="3" t="s">
        <v>281</v>
      </c>
      <c r="C1226" s="3" t="s">
        <v>4</v>
      </c>
      <c r="D1226" s="3" t="s">
        <v>42</v>
      </c>
      <c r="E1226" s="3" t="s">
        <v>43</v>
      </c>
      <c r="F1226" s="3" t="s">
        <v>68</v>
      </c>
      <c r="G1226" s="3" t="s">
        <v>45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1425</v>
      </c>
      <c r="B1227" s="3" t="s">
        <v>127</v>
      </c>
      <c r="C1227" s="3" t="s">
        <v>4</v>
      </c>
      <c r="D1227" s="3" t="s">
        <v>36</v>
      </c>
      <c r="E1227" s="3" t="s">
        <v>56</v>
      </c>
      <c r="F1227" s="3" t="s">
        <v>49</v>
      </c>
      <c r="G1227" s="3" t="s">
        <v>39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1426</v>
      </c>
      <c r="B1228" s="3" t="s">
        <v>55</v>
      </c>
      <c r="C1228" s="3" t="s">
        <v>4</v>
      </c>
      <c r="D1228" s="3" t="s">
        <v>53</v>
      </c>
      <c r="E1228" s="3" t="s">
        <v>37</v>
      </c>
      <c r="F1228" s="3" t="s">
        <v>68</v>
      </c>
      <c r="G1228" s="3" t="s">
        <v>39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1427</v>
      </c>
      <c r="B1229" s="3" t="s">
        <v>322</v>
      </c>
      <c r="C1229" s="3" t="s">
        <v>4</v>
      </c>
      <c r="D1229" s="3" t="s">
        <v>48</v>
      </c>
      <c r="E1229" s="3"/>
      <c r="F1229" s="3" t="s">
        <v>49</v>
      </c>
      <c r="G1229" s="3" t="s">
        <v>45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1428</v>
      </c>
      <c r="B1230" s="3" t="s">
        <v>248</v>
      </c>
      <c r="C1230" s="3" t="s">
        <v>4</v>
      </c>
      <c r="D1230" s="3" t="s">
        <v>42</v>
      </c>
      <c r="E1230" s="3" t="s">
        <v>43</v>
      </c>
      <c r="F1230" s="3" t="s">
        <v>49</v>
      </c>
      <c r="G1230" s="3" t="s">
        <v>45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1429</v>
      </c>
      <c r="B1231" s="3" t="s">
        <v>62</v>
      </c>
      <c r="C1231" s="3" t="s">
        <v>4</v>
      </c>
      <c r="D1231" s="3" t="s">
        <v>36</v>
      </c>
      <c r="E1231" s="3" t="s">
        <v>43</v>
      </c>
      <c r="F1231" s="3" t="s">
        <v>68</v>
      </c>
      <c r="G1231" s="3" t="s">
        <v>45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1430</v>
      </c>
      <c r="B1232" s="3" t="s">
        <v>959</v>
      </c>
      <c r="C1232" s="3" t="s">
        <v>4</v>
      </c>
      <c r="D1232" s="3" t="s">
        <v>42</v>
      </c>
      <c r="E1232" s="3" t="s">
        <v>37</v>
      </c>
      <c r="F1232" s="3" t="s">
        <v>68</v>
      </c>
      <c r="G1232" s="3" t="s">
        <v>50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1431</v>
      </c>
      <c r="B1233" s="3" t="s">
        <v>319</v>
      </c>
      <c r="C1233" s="3" t="s">
        <v>4</v>
      </c>
      <c r="D1233" s="3" t="s">
        <v>48</v>
      </c>
      <c r="E1233" s="3" t="s">
        <v>43</v>
      </c>
      <c r="F1233" s="3" t="s">
        <v>44</v>
      </c>
      <c r="G1233" s="3" t="s">
        <v>45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1432</v>
      </c>
      <c r="B1234" s="3" t="s">
        <v>380</v>
      </c>
      <c r="C1234" s="3" t="s">
        <v>4</v>
      </c>
      <c r="D1234" s="3" t="s">
        <v>48</v>
      </c>
      <c r="E1234" s="3" t="s">
        <v>37</v>
      </c>
      <c r="F1234" s="3" t="s">
        <v>44</v>
      </c>
      <c r="G1234" s="3" t="s">
        <v>45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1433</v>
      </c>
      <c r="B1235" s="3" t="s">
        <v>402</v>
      </c>
      <c r="C1235" s="3" t="s">
        <v>4</v>
      </c>
      <c r="D1235" s="3" t="s">
        <v>48</v>
      </c>
      <c r="E1235" s="3" t="s">
        <v>37</v>
      </c>
      <c r="F1235" s="3" t="s">
        <v>68</v>
      </c>
      <c r="G1235" s="3" t="s">
        <v>45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1434</v>
      </c>
      <c r="B1236" s="3" t="s">
        <v>425</v>
      </c>
      <c r="C1236" s="3" t="s">
        <v>4</v>
      </c>
      <c r="D1236" s="3" t="s">
        <v>36</v>
      </c>
      <c r="E1236" s="3" t="s">
        <v>43</v>
      </c>
      <c r="F1236" s="3" t="s">
        <v>49</v>
      </c>
      <c r="G1236" s="3" t="s">
        <v>39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1435</v>
      </c>
      <c r="B1237" s="3" t="s">
        <v>216</v>
      </c>
      <c r="C1237" s="3" t="s">
        <v>4</v>
      </c>
      <c r="D1237" s="3" t="s">
        <v>42</v>
      </c>
      <c r="E1237" s="3" t="s">
        <v>43</v>
      </c>
      <c r="F1237" s="3"/>
      <c r="G1237" s="3" t="s">
        <v>50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1436</v>
      </c>
      <c r="B1238" s="3" t="s">
        <v>125</v>
      </c>
      <c r="C1238" s="3" t="s">
        <v>4</v>
      </c>
      <c r="D1238" s="3" t="s">
        <v>42</v>
      </c>
      <c r="E1238" s="3" t="s">
        <v>37</v>
      </c>
      <c r="F1238" s="3" t="s">
        <v>38</v>
      </c>
      <c r="G1238" s="3" t="s">
        <v>45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1437</v>
      </c>
      <c r="B1239" s="3" t="s">
        <v>433</v>
      </c>
      <c r="C1239" s="3" t="s">
        <v>4</v>
      </c>
      <c r="D1239" s="3" t="s">
        <v>48</v>
      </c>
      <c r="E1239" s="3" t="s">
        <v>43</v>
      </c>
      <c r="F1239" s="3" t="s">
        <v>44</v>
      </c>
      <c r="G1239" s="3" t="s">
        <v>50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1438</v>
      </c>
      <c r="B1240" s="3" t="s">
        <v>516</v>
      </c>
      <c r="C1240" s="3" t="s">
        <v>4</v>
      </c>
      <c r="D1240" s="3" t="s">
        <v>48</v>
      </c>
      <c r="E1240" s="3" t="s">
        <v>43</v>
      </c>
      <c r="F1240" s="3" t="s">
        <v>44</v>
      </c>
      <c r="G1240" s="3" t="s">
        <v>50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1439</v>
      </c>
      <c r="B1241" s="3" t="s">
        <v>64</v>
      </c>
      <c r="C1241" s="3" t="s">
        <v>4</v>
      </c>
      <c r="D1241" s="3" t="s">
        <v>48</v>
      </c>
      <c r="E1241" s="3" t="s">
        <v>43</v>
      </c>
      <c r="F1241" s="3"/>
      <c r="G1241" s="3" t="s">
        <v>45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1440</v>
      </c>
      <c r="B1242" s="3" t="s">
        <v>421</v>
      </c>
      <c r="C1242" s="3" t="s">
        <v>4</v>
      </c>
      <c r="D1242" s="3" t="s">
        <v>42</v>
      </c>
      <c r="E1242" s="3" t="s">
        <v>37</v>
      </c>
      <c r="F1242" s="3" t="s">
        <v>44</v>
      </c>
      <c r="G1242" s="3" t="s">
        <v>39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1441</v>
      </c>
      <c r="B1243" s="3" t="s">
        <v>41</v>
      </c>
      <c r="C1243" s="3" t="s">
        <v>4</v>
      </c>
      <c r="D1243" s="3" t="s">
        <v>36</v>
      </c>
      <c r="E1243" s="3" t="s">
        <v>56</v>
      </c>
      <c r="F1243" s="3" t="s">
        <v>38</v>
      </c>
      <c r="G1243" s="3" t="s">
        <v>39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1442</v>
      </c>
      <c r="B1244" s="3" t="s">
        <v>192</v>
      </c>
      <c r="C1244" s="3" t="s">
        <v>4</v>
      </c>
      <c r="D1244" s="3" t="s">
        <v>48</v>
      </c>
      <c r="E1244" s="3" t="s">
        <v>43</v>
      </c>
      <c r="F1244" s="3" t="s">
        <v>44</v>
      </c>
      <c r="G1244" s="3" t="s">
        <v>39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1443</v>
      </c>
      <c r="B1245" s="3" t="s">
        <v>254</v>
      </c>
      <c r="C1245" s="3" t="s">
        <v>4</v>
      </c>
      <c r="D1245" s="3" t="s">
        <v>36</v>
      </c>
      <c r="E1245" s="3" t="s">
        <v>43</v>
      </c>
      <c r="F1245" s="3" t="s">
        <v>38</v>
      </c>
      <c r="G1245" s="3" t="s">
        <v>39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1444</v>
      </c>
      <c r="B1246" s="3" t="s">
        <v>199</v>
      </c>
      <c r="C1246" s="3" t="s">
        <v>4</v>
      </c>
      <c r="D1246" s="3" t="s">
        <v>36</v>
      </c>
      <c r="E1246" s="3" t="s">
        <v>43</v>
      </c>
      <c r="F1246" s="3" t="s">
        <v>38</v>
      </c>
      <c r="G1246" s="3" t="s">
        <v>50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1445</v>
      </c>
      <c r="B1247" s="3" t="s">
        <v>171</v>
      </c>
      <c r="C1247" s="3" t="s">
        <v>4</v>
      </c>
      <c r="D1247" s="3" t="s">
        <v>36</v>
      </c>
      <c r="E1247" s="3" t="s">
        <v>56</v>
      </c>
      <c r="F1247" s="3" t="s">
        <v>44</v>
      </c>
      <c r="G1247" s="3" t="s">
        <v>45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1446</v>
      </c>
      <c r="B1248" s="3" t="s">
        <v>361</v>
      </c>
      <c r="C1248" s="3" t="s">
        <v>4</v>
      </c>
      <c r="D1248" s="3" t="s">
        <v>36</v>
      </c>
      <c r="E1248" s="3" t="s">
        <v>43</v>
      </c>
      <c r="F1248" s="3" t="s">
        <v>49</v>
      </c>
      <c r="G1248" s="3" t="s">
        <v>39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1447</v>
      </c>
      <c r="B1249" s="3" t="s">
        <v>869</v>
      </c>
      <c r="C1249" s="3" t="s">
        <v>4</v>
      </c>
      <c r="D1249" s="3" t="s">
        <v>36</v>
      </c>
      <c r="E1249" s="3" t="s">
        <v>43</v>
      </c>
      <c r="F1249" s="3" t="s">
        <v>65</v>
      </c>
      <c r="G1249" s="3" t="s">
        <v>39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1448</v>
      </c>
      <c r="B1250" s="3" t="s">
        <v>224</v>
      </c>
      <c r="C1250" s="3" t="s">
        <v>4</v>
      </c>
      <c r="D1250" s="3" t="s">
        <v>48</v>
      </c>
      <c r="E1250" s="3" t="s">
        <v>43</v>
      </c>
      <c r="F1250" s="3" t="s">
        <v>44</v>
      </c>
      <c r="G1250" s="3" t="s">
        <v>39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1449</v>
      </c>
      <c r="B1251" s="3" t="s">
        <v>516</v>
      </c>
      <c r="C1251" s="3" t="s">
        <v>4</v>
      </c>
      <c r="D1251" s="3" t="s">
        <v>42</v>
      </c>
      <c r="E1251" s="3" t="s">
        <v>37</v>
      </c>
      <c r="F1251" s="3" t="s">
        <v>68</v>
      </c>
      <c r="G1251" s="3" t="s">
        <v>45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1450</v>
      </c>
      <c r="B1252" s="3" t="s">
        <v>207</v>
      </c>
      <c r="C1252" s="3" t="s">
        <v>4</v>
      </c>
      <c r="D1252" s="3" t="s">
        <v>48</v>
      </c>
      <c r="E1252" s="3" t="s">
        <v>43</v>
      </c>
      <c r="F1252" s="3" t="s">
        <v>44</v>
      </c>
      <c r="G1252" s="3" t="s">
        <v>39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1451</v>
      </c>
      <c r="B1253" s="3" t="s">
        <v>123</v>
      </c>
      <c r="C1253" s="3" t="s">
        <v>4</v>
      </c>
      <c r="D1253" s="3" t="s">
        <v>53</v>
      </c>
      <c r="E1253" s="3" t="s">
        <v>43</v>
      </c>
      <c r="F1253" s="3" t="s">
        <v>49</v>
      </c>
      <c r="G1253" s="3" t="s">
        <v>39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1452</v>
      </c>
      <c r="B1254" s="3" t="s">
        <v>205</v>
      </c>
      <c r="C1254" s="3" t="s">
        <v>4</v>
      </c>
      <c r="D1254" s="3" t="s">
        <v>36</v>
      </c>
      <c r="E1254" s="3" t="s">
        <v>43</v>
      </c>
      <c r="F1254" s="3" t="s">
        <v>49</v>
      </c>
      <c r="G1254" s="3" t="s">
        <v>45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1453</v>
      </c>
      <c r="B1255" s="3" t="s">
        <v>623</v>
      </c>
      <c r="C1255" s="3" t="s">
        <v>4</v>
      </c>
      <c r="D1255" s="3" t="s">
        <v>42</v>
      </c>
      <c r="E1255" s="3" t="s">
        <v>43</v>
      </c>
      <c r="F1255" s="3" t="s">
        <v>68</v>
      </c>
      <c r="G1255" s="3" t="s">
        <v>39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1454</v>
      </c>
      <c r="B1256" s="3" t="s">
        <v>41</v>
      </c>
      <c r="C1256" s="3" t="s">
        <v>4</v>
      </c>
      <c r="D1256" s="3" t="s">
        <v>53</v>
      </c>
      <c r="E1256" s="3" t="s">
        <v>37</v>
      </c>
      <c r="F1256" s="3" t="s">
        <v>68</v>
      </c>
      <c r="G1256" s="3" t="s">
        <v>39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1455</v>
      </c>
      <c r="B1257" s="3" t="s">
        <v>359</v>
      </c>
      <c r="C1257" s="3" t="s">
        <v>4</v>
      </c>
      <c r="D1257" s="3" t="s">
        <v>48</v>
      </c>
      <c r="E1257" s="3" t="s">
        <v>37</v>
      </c>
      <c r="F1257" s="3"/>
      <c r="G1257" s="3" t="s">
        <v>45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1456</v>
      </c>
      <c r="B1258" s="3" t="s">
        <v>1065</v>
      </c>
      <c r="C1258" s="3" t="s">
        <v>4</v>
      </c>
      <c r="D1258" s="3" t="s">
        <v>42</v>
      </c>
      <c r="E1258" s="3" t="s">
        <v>43</v>
      </c>
      <c r="F1258" s="3" t="s">
        <v>49</v>
      </c>
      <c r="G1258" s="3" t="s">
        <v>45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1457</v>
      </c>
      <c r="B1259" s="3" t="s">
        <v>188</v>
      </c>
      <c r="C1259" s="3" t="s">
        <v>4</v>
      </c>
      <c r="D1259" s="3" t="s">
        <v>42</v>
      </c>
      <c r="E1259" s="3" t="s">
        <v>37</v>
      </c>
      <c r="F1259" s="3" t="s">
        <v>49</v>
      </c>
      <c r="G1259" s="3" t="s">
        <v>39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1458</v>
      </c>
      <c r="B1260" s="3" t="s">
        <v>340</v>
      </c>
      <c r="C1260" s="3" t="s">
        <v>4</v>
      </c>
      <c r="D1260" s="3" t="s">
        <v>42</v>
      </c>
      <c r="E1260" s="3" t="s">
        <v>37</v>
      </c>
      <c r="F1260" s="3" t="s">
        <v>49</v>
      </c>
      <c r="G1260" s="3" t="s">
        <v>39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1459</v>
      </c>
      <c r="B1261" s="3" t="s">
        <v>869</v>
      </c>
      <c r="C1261" s="3" t="s">
        <v>4</v>
      </c>
      <c r="D1261" s="3" t="s">
        <v>36</v>
      </c>
      <c r="E1261" s="3" t="s">
        <v>43</v>
      </c>
      <c r="F1261" s="3" t="s">
        <v>44</v>
      </c>
      <c r="G1261" s="3" t="s">
        <v>45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1460</v>
      </c>
      <c r="B1262" s="3" t="s">
        <v>158</v>
      </c>
      <c r="C1262" s="3" t="s">
        <v>4</v>
      </c>
      <c r="D1262" s="3" t="s">
        <v>36</v>
      </c>
      <c r="E1262" s="3" t="s">
        <v>37</v>
      </c>
      <c r="F1262" s="3" t="s">
        <v>49</v>
      </c>
      <c r="G1262" s="3" t="s">
        <v>45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1461</v>
      </c>
      <c r="B1263" s="3" t="s">
        <v>474</v>
      </c>
      <c r="C1263" s="3" t="s">
        <v>4</v>
      </c>
      <c r="D1263" s="3" t="s">
        <v>42</v>
      </c>
      <c r="E1263" s="3" t="s">
        <v>37</v>
      </c>
      <c r="F1263" s="3" t="s">
        <v>44</v>
      </c>
      <c r="G1263" s="3" t="s">
        <v>45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1462</v>
      </c>
      <c r="B1264" s="3" t="s">
        <v>108</v>
      </c>
      <c r="C1264" s="3" t="s">
        <v>4</v>
      </c>
      <c r="D1264" s="3" t="s">
        <v>36</v>
      </c>
      <c r="E1264" s="3" t="s">
        <v>43</v>
      </c>
      <c r="F1264" s="3" t="s">
        <v>68</v>
      </c>
      <c r="G1264" s="3" t="s">
        <v>45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1463</v>
      </c>
      <c r="B1265" s="3" t="s">
        <v>184</v>
      </c>
      <c r="C1265" s="3" t="s">
        <v>4</v>
      </c>
      <c r="D1265" s="3" t="s">
        <v>48</v>
      </c>
      <c r="E1265" s="3" t="s">
        <v>43</v>
      </c>
      <c r="F1265" s="3" t="s">
        <v>44</v>
      </c>
      <c r="G1265" s="3" t="s">
        <v>45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1464</v>
      </c>
      <c r="B1266" s="3" t="s">
        <v>108</v>
      </c>
      <c r="C1266" s="3" t="s">
        <v>4</v>
      </c>
      <c r="D1266" s="3" t="s">
        <v>36</v>
      </c>
      <c r="E1266" s="3" t="s">
        <v>37</v>
      </c>
      <c r="F1266" s="3" t="s">
        <v>49</v>
      </c>
      <c r="G1266" s="3" t="s">
        <v>45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1465</v>
      </c>
      <c r="B1267" s="3" t="s">
        <v>516</v>
      </c>
      <c r="C1267" s="3" t="s">
        <v>4</v>
      </c>
      <c r="D1267" s="3" t="s">
        <v>48</v>
      </c>
      <c r="E1267" s="3" t="s">
        <v>43</v>
      </c>
      <c r="F1267" s="3" t="s">
        <v>65</v>
      </c>
      <c r="G1267" s="3" t="s">
        <v>45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1466</v>
      </c>
      <c r="B1268" s="3" t="s">
        <v>41</v>
      </c>
      <c r="C1268" s="3" t="s">
        <v>4</v>
      </c>
      <c r="D1268" s="3" t="s">
        <v>42</v>
      </c>
      <c r="E1268" s="3" t="s">
        <v>43</v>
      </c>
      <c r="F1268" s="3" t="s">
        <v>38</v>
      </c>
      <c r="G1268" s="3" t="s">
        <v>45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1467</v>
      </c>
      <c r="B1269" s="3" t="s">
        <v>199</v>
      </c>
      <c r="C1269" s="3" t="s">
        <v>4</v>
      </c>
      <c r="D1269" s="3" t="s">
        <v>48</v>
      </c>
      <c r="E1269" s="3" t="s">
        <v>37</v>
      </c>
      <c r="F1269" s="3" t="s">
        <v>49</v>
      </c>
      <c r="G1269" s="3" t="s">
        <v>39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1468</v>
      </c>
      <c r="B1270" s="3" t="s">
        <v>148</v>
      </c>
      <c r="C1270" s="3" t="s">
        <v>4</v>
      </c>
      <c r="D1270" s="3" t="s">
        <v>42</v>
      </c>
      <c r="E1270" s="3" t="s">
        <v>37</v>
      </c>
      <c r="F1270" s="3" t="s">
        <v>49</v>
      </c>
      <c r="G1270" s="3" t="s">
        <v>50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1469</v>
      </c>
      <c r="B1271" s="3" t="s">
        <v>35</v>
      </c>
      <c r="C1271" s="3" t="s">
        <v>4</v>
      </c>
      <c r="D1271" s="3" t="s">
        <v>48</v>
      </c>
      <c r="E1271" s="3" t="s">
        <v>37</v>
      </c>
      <c r="F1271" s="3" t="s">
        <v>68</v>
      </c>
      <c r="G1271" s="3" t="s">
        <v>45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1470</v>
      </c>
      <c r="B1272" s="3" t="s">
        <v>266</v>
      </c>
      <c r="C1272" s="3" t="s">
        <v>4</v>
      </c>
      <c r="D1272" s="3" t="s">
        <v>42</v>
      </c>
      <c r="E1272" s="3"/>
      <c r="F1272" s="3" t="s">
        <v>65</v>
      </c>
      <c r="G1272" s="3" t="s">
        <v>39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1471</v>
      </c>
      <c r="B1273" s="3" t="s">
        <v>334</v>
      </c>
      <c r="C1273" s="3" t="s">
        <v>4</v>
      </c>
      <c r="D1273" s="3" t="s">
        <v>42</v>
      </c>
      <c r="E1273" s="3" t="s">
        <v>43</v>
      </c>
      <c r="F1273" s="3" t="s">
        <v>49</v>
      </c>
      <c r="G1273" s="3" t="s">
        <v>39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1472</v>
      </c>
      <c r="B1274" s="3" t="s">
        <v>116</v>
      </c>
      <c r="C1274" s="3" t="s">
        <v>4</v>
      </c>
      <c r="D1274" s="3" t="s">
        <v>42</v>
      </c>
      <c r="E1274" s="3" t="s">
        <v>43</v>
      </c>
      <c r="F1274" s="3" t="s">
        <v>68</v>
      </c>
      <c r="G1274" s="3" t="s">
        <v>45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1473</v>
      </c>
      <c r="B1275" s="3" t="s">
        <v>283</v>
      </c>
      <c r="C1275" s="3" t="s">
        <v>4</v>
      </c>
      <c r="D1275" s="3" t="s">
        <v>53</v>
      </c>
      <c r="E1275" s="3" t="s">
        <v>37</v>
      </c>
      <c r="F1275" s="3" t="s">
        <v>68</v>
      </c>
      <c r="G1275" s="3" t="s">
        <v>50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1474</v>
      </c>
      <c r="B1276" s="3" t="s">
        <v>371</v>
      </c>
      <c r="C1276" s="3" t="s">
        <v>4</v>
      </c>
      <c r="D1276" s="3" t="s">
        <v>42</v>
      </c>
      <c r="E1276" s="3" t="s">
        <v>43</v>
      </c>
      <c r="F1276" s="3" t="s">
        <v>65</v>
      </c>
      <c r="G1276" s="3" t="s">
        <v>45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1475</v>
      </c>
      <c r="B1277" s="3" t="s">
        <v>197</v>
      </c>
      <c r="C1277" s="3" t="s">
        <v>4</v>
      </c>
      <c r="D1277" s="3" t="s">
        <v>48</v>
      </c>
      <c r="E1277" s="3" t="s">
        <v>43</v>
      </c>
      <c r="F1277" s="3" t="s">
        <v>65</v>
      </c>
      <c r="G1277" s="3" t="s">
        <v>45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1476</v>
      </c>
      <c r="B1278" s="3" t="s">
        <v>425</v>
      </c>
      <c r="C1278" s="3" t="s">
        <v>4</v>
      </c>
      <c r="D1278" s="3" t="s">
        <v>36</v>
      </c>
      <c r="E1278" s="3" t="s">
        <v>37</v>
      </c>
      <c r="F1278" s="3" t="s">
        <v>65</v>
      </c>
      <c r="G1278" s="3" t="s">
        <v>45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1477</v>
      </c>
      <c r="B1279" s="3" t="s">
        <v>209</v>
      </c>
      <c r="C1279" s="3" t="s">
        <v>4</v>
      </c>
      <c r="D1279" s="3" t="s">
        <v>42</v>
      </c>
      <c r="E1279" s="3" t="s">
        <v>37</v>
      </c>
      <c r="F1279" s="3" t="s">
        <v>44</v>
      </c>
      <c r="G1279" s="3" t="s">
        <v>39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1478</v>
      </c>
      <c r="B1280" s="3" t="s">
        <v>180</v>
      </c>
      <c r="C1280" s="3" t="s">
        <v>4</v>
      </c>
      <c r="D1280" s="3" t="s">
        <v>48</v>
      </c>
      <c r="E1280" s="3" t="s">
        <v>37</v>
      </c>
      <c r="F1280" s="3" t="s">
        <v>68</v>
      </c>
      <c r="G1280" s="3" t="s">
        <v>45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1479</v>
      </c>
      <c r="B1281" s="3" t="s">
        <v>219</v>
      </c>
      <c r="C1281" s="3" t="s">
        <v>4</v>
      </c>
      <c r="D1281" s="3" t="s">
        <v>36</v>
      </c>
      <c r="E1281" s="3" t="s">
        <v>43</v>
      </c>
      <c r="F1281" s="3" t="s">
        <v>44</v>
      </c>
      <c r="G1281" s="3" t="s">
        <v>45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1480</v>
      </c>
      <c r="B1282" s="3" t="s">
        <v>365</v>
      </c>
      <c r="C1282" s="3" t="s">
        <v>4</v>
      </c>
      <c r="D1282" s="3" t="s">
        <v>48</v>
      </c>
      <c r="E1282" s="3" t="s">
        <v>37</v>
      </c>
      <c r="F1282" s="3" t="s">
        <v>49</v>
      </c>
      <c r="G1282" s="3" t="s">
        <v>45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1481</v>
      </c>
      <c r="B1283" s="3" t="s">
        <v>368</v>
      </c>
      <c r="C1283" s="3" t="s">
        <v>4</v>
      </c>
      <c r="D1283" s="3" t="s">
        <v>42</v>
      </c>
      <c r="E1283" s="3" t="s">
        <v>37</v>
      </c>
      <c r="F1283" s="3" t="s">
        <v>68</v>
      </c>
      <c r="G1283" s="3" t="s">
        <v>45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1482</v>
      </c>
      <c r="B1284" s="3" t="s">
        <v>368</v>
      </c>
      <c r="C1284" s="3" t="s">
        <v>4</v>
      </c>
      <c r="D1284" s="3" t="s">
        <v>42</v>
      </c>
      <c r="E1284" s="3" t="s">
        <v>43</v>
      </c>
      <c r="F1284" s="3" t="s">
        <v>44</v>
      </c>
      <c r="G1284" s="3" t="s">
        <v>45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1483</v>
      </c>
      <c r="B1285" s="3" t="s">
        <v>399</v>
      </c>
      <c r="C1285" s="3" t="s">
        <v>4</v>
      </c>
      <c r="D1285" s="3" t="s">
        <v>42</v>
      </c>
      <c r="E1285" s="3" t="s">
        <v>56</v>
      </c>
      <c r="F1285" s="3" t="s">
        <v>68</v>
      </c>
      <c r="G1285" s="3" t="s">
        <v>45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1484</v>
      </c>
      <c r="B1286" s="3" t="s">
        <v>254</v>
      </c>
      <c r="C1286" s="3" t="s">
        <v>4</v>
      </c>
      <c r="D1286" s="3" t="s">
        <v>36</v>
      </c>
      <c r="E1286" s="3" t="s">
        <v>43</v>
      </c>
      <c r="F1286" s="3" t="s">
        <v>68</v>
      </c>
      <c r="G1286" s="3" t="s">
        <v>50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1485</v>
      </c>
      <c r="B1287" s="3" t="s">
        <v>301</v>
      </c>
      <c r="C1287" s="3" t="s">
        <v>4</v>
      </c>
      <c r="D1287" s="3" t="s">
        <v>36</v>
      </c>
      <c r="E1287" s="3" t="s">
        <v>37</v>
      </c>
      <c r="F1287" s="3" t="s">
        <v>44</v>
      </c>
      <c r="G1287" s="3" t="s">
        <v>39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1486</v>
      </c>
      <c r="B1288" s="3" t="s">
        <v>171</v>
      </c>
      <c r="C1288" s="3" t="s">
        <v>4</v>
      </c>
      <c r="D1288" s="3" t="s">
        <v>53</v>
      </c>
      <c r="E1288" s="3" t="s">
        <v>43</v>
      </c>
      <c r="F1288" s="3" t="s">
        <v>44</v>
      </c>
      <c r="G1288" s="3" t="s">
        <v>50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1487</v>
      </c>
      <c r="B1289" s="3" t="s">
        <v>144</v>
      </c>
      <c r="C1289" s="3" t="s">
        <v>4</v>
      </c>
      <c r="D1289" s="3" t="s">
        <v>48</v>
      </c>
      <c r="E1289" s="3" t="s">
        <v>37</v>
      </c>
      <c r="F1289" s="3" t="s">
        <v>44</v>
      </c>
      <c r="G1289" s="3" t="s">
        <v>45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1488</v>
      </c>
      <c r="B1290" s="3" t="s">
        <v>199</v>
      </c>
      <c r="C1290" s="3" t="s">
        <v>4</v>
      </c>
      <c r="D1290" s="3" t="s">
        <v>48</v>
      </c>
      <c r="E1290" s="3" t="s">
        <v>37</v>
      </c>
      <c r="F1290" s="3" t="s">
        <v>49</v>
      </c>
      <c r="G1290" s="3" t="s">
        <v>45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1489</v>
      </c>
      <c r="B1291" s="3" t="s">
        <v>402</v>
      </c>
      <c r="C1291" s="3" t="s">
        <v>4</v>
      </c>
      <c r="D1291" s="3" t="s">
        <v>42</v>
      </c>
      <c r="E1291" s="3" t="s">
        <v>56</v>
      </c>
      <c r="F1291" s="3" t="s">
        <v>44</v>
      </c>
      <c r="G1291" s="3" t="s">
        <v>39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1490</v>
      </c>
      <c r="B1292" s="3" t="s">
        <v>340</v>
      </c>
      <c r="C1292" s="3" t="s">
        <v>4</v>
      </c>
      <c r="D1292" s="3" t="s">
        <v>53</v>
      </c>
      <c r="E1292" s="3" t="s">
        <v>37</v>
      </c>
      <c r="F1292" s="3" t="s">
        <v>44</v>
      </c>
      <c r="G1292" s="3" t="s">
        <v>50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1491</v>
      </c>
      <c r="B1293" s="3" t="s">
        <v>319</v>
      </c>
      <c r="C1293" s="3" t="s">
        <v>4</v>
      </c>
      <c r="D1293" s="3" t="s">
        <v>36</v>
      </c>
      <c r="E1293" s="3" t="s">
        <v>43</v>
      </c>
      <c r="F1293" s="3" t="s">
        <v>49</v>
      </c>
      <c r="G1293" s="3" t="s">
        <v>45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1492</v>
      </c>
      <c r="B1294" s="3" t="s">
        <v>222</v>
      </c>
      <c r="C1294" s="3" t="s">
        <v>4</v>
      </c>
      <c r="D1294" s="3" t="s">
        <v>42</v>
      </c>
      <c r="E1294" s="3" t="s">
        <v>43</v>
      </c>
      <c r="F1294" s="3" t="s">
        <v>68</v>
      </c>
      <c r="G1294" s="3" t="s">
        <v>50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1493</v>
      </c>
      <c r="B1295" s="3" t="s">
        <v>173</v>
      </c>
      <c r="C1295" s="3" t="s">
        <v>4</v>
      </c>
      <c r="D1295" s="3" t="s">
        <v>48</v>
      </c>
      <c r="E1295" s="3" t="s">
        <v>37</v>
      </c>
      <c r="F1295" s="3" t="s">
        <v>68</v>
      </c>
      <c r="G1295" s="3" t="s">
        <v>45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1494</v>
      </c>
      <c r="B1296" s="3" t="s">
        <v>131</v>
      </c>
      <c r="C1296" s="3" t="s">
        <v>4</v>
      </c>
      <c r="D1296" s="3" t="s">
        <v>36</v>
      </c>
      <c r="E1296" s="3" t="s">
        <v>37</v>
      </c>
      <c r="F1296" s="3" t="s">
        <v>65</v>
      </c>
      <c r="G1296" s="3" t="s">
        <v>45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1495</v>
      </c>
      <c r="B1297" s="3" t="s">
        <v>83</v>
      </c>
      <c r="C1297" s="3" t="s">
        <v>4</v>
      </c>
      <c r="D1297" s="3" t="s">
        <v>53</v>
      </c>
      <c r="E1297" s="3" t="s">
        <v>37</v>
      </c>
      <c r="F1297" s="3" t="s">
        <v>68</v>
      </c>
      <c r="G1297" s="3" t="s">
        <v>45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1496</v>
      </c>
      <c r="B1298" s="3" t="s">
        <v>466</v>
      </c>
      <c r="C1298" s="3" t="s">
        <v>4</v>
      </c>
      <c r="D1298" s="3" t="s">
        <v>53</v>
      </c>
      <c r="E1298" s="3" t="s">
        <v>37</v>
      </c>
      <c r="F1298" s="3" t="s">
        <v>65</v>
      </c>
      <c r="G1298" s="3" t="s">
        <v>50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1497</v>
      </c>
      <c r="B1299" s="3" t="s">
        <v>446</v>
      </c>
      <c r="C1299" s="3" t="s">
        <v>4</v>
      </c>
      <c r="D1299" s="3" t="s">
        <v>36</v>
      </c>
      <c r="E1299" s="3" t="s">
        <v>43</v>
      </c>
      <c r="F1299" s="3" t="s">
        <v>65</v>
      </c>
      <c r="G1299" s="3" t="s">
        <v>45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1498</v>
      </c>
      <c r="B1300" s="3" t="s">
        <v>62</v>
      </c>
      <c r="C1300" s="3" t="s">
        <v>4</v>
      </c>
      <c r="D1300" s="3" t="s">
        <v>42</v>
      </c>
      <c r="E1300" s="3" t="s">
        <v>43</v>
      </c>
      <c r="F1300" s="3" t="s">
        <v>44</v>
      </c>
      <c r="G1300" s="3" t="s">
        <v>45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false" outlineLevel="0" collapsed="false">
      <c r="A1301" s="3" t="s">
        <v>1499</v>
      </c>
      <c r="B1301" s="3" t="s">
        <v>340</v>
      </c>
      <c r="C1301" s="3" t="s">
        <v>4</v>
      </c>
      <c r="D1301" s="3" t="s">
        <v>53</v>
      </c>
      <c r="E1301" s="3" t="s">
        <v>43</v>
      </c>
      <c r="F1301" s="3" t="s">
        <v>44</v>
      </c>
      <c r="G1301" s="3" t="s">
        <v>50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1500</v>
      </c>
      <c r="B1302" s="3" t="s">
        <v>52</v>
      </c>
      <c r="C1302" s="3" t="s">
        <v>4</v>
      </c>
      <c r="D1302" s="3" t="s">
        <v>42</v>
      </c>
      <c r="E1302" s="3" t="s">
        <v>43</v>
      </c>
      <c r="F1302" s="3" t="s">
        <v>68</v>
      </c>
      <c r="G1302" s="3" t="s">
        <v>45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1501</v>
      </c>
      <c r="B1303" s="3" t="s">
        <v>79</v>
      </c>
      <c r="C1303" s="3" t="s">
        <v>4</v>
      </c>
      <c r="D1303" s="3" t="s">
        <v>36</v>
      </c>
      <c r="E1303" s="3" t="s">
        <v>43</v>
      </c>
      <c r="F1303" s="3" t="s">
        <v>44</v>
      </c>
      <c r="G1303" s="3" t="s">
        <v>45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1502</v>
      </c>
      <c r="B1304" s="3" t="s">
        <v>129</v>
      </c>
      <c r="C1304" s="3" t="s">
        <v>4</v>
      </c>
      <c r="D1304" s="3" t="s">
        <v>36</v>
      </c>
      <c r="E1304" s="3" t="s">
        <v>43</v>
      </c>
      <c r="F1304" s="3" t="s">
        <v>68</v>
      </c>
      <c r="G1304" s="3" t="s">
        <v>39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1503</v>
      </c>
      <c r="B1305" s="3" t="s">
        <v>178</v>
      </c>
      <c r="C1305" s="3" t="s">
        <v>4</v>
      </c>
      <c r="D1305" s="3" t="s">
        <v>42</v>
      </c>
      <c r="E1305" s="3" t="s">
        <v>43</v>
      </c>
      <c r="F1305" s="3" t="s">
        <v>49</v>
      </c>
      <c r="G1305" s="3" t="s">
        <v>39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1504</v>
      </c>
      <c r="B1306" s="3" t="s">
        <v>164</v>
      </c>
      <c r="C1306" s="3" t="s">
        <v>4</v>
      </c>
      <c r="D1306" s="3" t="s">
        <v>48</v>
      </c>
      <c r="E1306" s="3" t="s">
        <v>43</v>
      </c>
      <c r="F1306" s="3" t="s">
        <v>68</v>
      </c>
      <c r="G1306" s="3" t="s">
        <v>45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1505</v>
      </c>
      <c r="B1307" s="3" t="s">
        <v>959</v>
      </c>
      <c r="C1307" s="3" t="s">
        <v>4</v>
      </c>
      <c r="D1307" s="3" t="s">
        <v>48</v>
      </c>
      <c r="E1307" s="3" t="s">
        <v>37</v>
      </c>
      <c r="F1307" s="3" t="s">
        <v>68</v>
      </c>
      <c r="G1307" s="3" t="s">
        <v>39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1506</v>
      </c>
      <c r="B1308" s="3" t="s">
        <v>55</v>
      </c>
      <c r="C1308" s="3" t="s">
        <v>4</v>
      </c>
      <c r="D1308" s="3" t="s">
        <v>42</v>
      </c>
      <c r="E1308" s="3" t="s">
        <v>37</v>
      </c>
      <c r="F1308" s="3" t="s">
        <v>68</v>
      </c>
      <c r="G1308" s="3" t="s">
        <v>45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1507</v>
      </c>
      <c r="B1309" s="3" t="s">
        <v>108</v>
      </c>
      <c r="C1309" s="3" t="s">
        <v>4</v>
      </c>
      <c r="D1309" s="3" t="s">
        <v>42</v>
      </c>
      <c r="E1309" s="3" t="s">
        <v>56</v>
      </c>
      <c r="F1309" s="3" t="s">
        <v>49</v>
      </c>
      <c r="G1309" s="3" t="s">
        <v>39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1508</v>
      </c>
      <c r="B1310" s="3" t="s">
        <v>93</v>
      </c>
      <c r="C1310" s="3" t="s">
        <v>4</v>
      </c>
      <c r="D1310" s="3" t="s">
        <v>48</v>
      </c>
      <c r="E1310" s="3" t="s">
        <v>37</v>
      </c>
      <c r="F1310" s="3" t="s">
        <v>68</v>
      </c>
      <c r="G1310" s="3" t="s">
        <v>45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1509</v>
      </c>
      <c r="B1311" s="3" t="s">
        <v>421</v>
      </c>
      <c r="C1311" s="3" t="s">
        <v>4</v>
      </c>
      <c r="D1311" s="3" t="s">
        <v>48</v>
      </c>
      <c r="E1311" s="3" t="s">
        <v>37</v>
      </c>
      <c r="F1311" s="3" t="s">
        <v>49</v>
      </c>
      <c r="G1311" s="3" t="s">
        <v>39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1510</v>
      </c>
      <c r="B1312" s="3" t="s">
        <v>188</v>
      </c>
      <c r="C1312" s="3" t="s">
        <v>4</v>
      </c>
      <c r="D1312" s="3" t="s">
        <v>36</v>
      </c>
      <c r="E1312" s="3" t="s">
        <v>37</v>
      </c>
      <c r="F1312" s="3" t="s">
        <v>44</v>
      </c>
      <c r="G1312" s="3" t="s">
        <v>45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1511</v>
      </c>
      <c r="B1313" s="3" t="s">
        <v>283</v>
      </c>
      <c r="C1313" s="3" t="s">
        <v>4</v>
      </c>
      <c r="D1313" s="3" t="s">
        <v>42</v>
      </c>
      <c r="E1313" s="3" t="s">
        <v>37</v>
      </c>
      <c r="F1313" s="3" t="s">
        <v>38</v>
      </c>
      <c r="G1313" s="3" t="s">
        <v>39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1512</v>
      </c>
      <c r="B1314" s="3" t="s">
        <v>257</v>
      </c>
      <c r="C1314" s="3" t="s">
        <v>4</v>
      </c>
      <c r="D1314" s="3" t="s">
        <v>53</v>
      </c>
      <c r="E1314" s="3" t="s">
        <v>43</v>
      </c>
      <c r="F1314" s="3" t="s">
        <v>65</v>
      </c>
      <c r="G1314" s="3" t="s">
        <v>45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1513</v>
      </c>
      <c r="B1315" s="3" t="s">
        <v>232</v>
      </c>
      <c r="C1315" s="3" t="s">
        <v>4</v>
      </c>
      <c r="D1315" s="3" t="s">
        <v>48</v>
      </c>
      <c r="E1315" s="3" t="s">
        <v>56</v>
      </c>
      <c r="F1315" s="3" t="s">
        <v>68</v>
      </c>
      <c r="G1315" s="3" t="s">
        <v>50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1514</v>
      </c>
      <c r="B1316" s="3" t="s">
        <v>137</v>
      </c>
      <c r="C1316" s="3" t="s">
        <v>4</v>
      </c>
      <c r="D1316" s="3" t="s">
        <v>48</v>
      </c>
      <c r="E1316" s="3" t="s">
        <v>56</v>
      </c>
      <c r="F1316" s="3"/>
      <c r="G1316" s="3" t="s">
        <v>50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1515</v>
      </c>
      <c r="B1317" s="3" t="s">
        <v>148</v>
      </c>
      <c r="C1317" s="3" t="s">
        <v>4</v>
      </c>
      <c r="D1317" s="3" t="s">
        <v>36</v>
      </c>
      <c r="E1317" s="3" t="s">
        <v>43</v>
      </c>
      <c r="F1317" s="3" t="s">
        <v>44</v>
      </c>
      <c r="G1317" s="3" t="s">
        <v>50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3" t="s">
        <v>1516</v>
      </c>
      <c r="B1318" s="3" t="s">
        <v>180</v>
      </c>
      <c r="C1318" s="3" t="s">
        <v>4</v>
      </c>
      <c r="D1318" s="3" t="s">
        <v>53</v>
      </c>
      <c r="E1318" s="3" t="s">
        <v>43</v>
      </c>
      <c r="F1318" s="3" t="s">
        <v>44</v>
      </c>
      <c r="G1318" s="3" t="s">
        <v>45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1517</v>
      </c>
      <c r="B1319" s="3" t="s">
        <v>89</v>
      </c>
      <c r="C1319" s="3" t="s">
        <v>4</v>
      </c>
      <c r="D1319" s="3" t="s">
        <v>53</v>
      </c>
      <c r="E1319" s="3" t="s">
        <v>43</v>
      </c>
      <c r="F1319" s="3" t="s">
        <v>49</v>
      </c>
      <c r="G1319" s="3" t="s">
        <v>45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1518</v>
      </c>
      <c r="B1320" s="3" t="s">
        <v>662</v>
      </c>
      <c r="C1320" s="3" t="s">
        <v>4</v>
      </c>
      <c r="D1320" s="3" t="s">
        <v>48</v>
      </c>
      <c r="E1320" s="3" t="s">
        <v>43</v>
      </c>
      <c r="F1320" s="3" t="s">
        <v>44</v>
      </c>
      <c r="G1320" s="3" t="s">
        <v>45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1519</v>
      </c>
      <c r="B1321" s="3" t="s">
        <v>119</v>
      </c>
      <c r="C1321" s="3" t="s">
        <v>4</v>
      </c>
      <c r="D1321" s="3" t="s">
        <v>53</v>
      </c>
      <c r="E1321" s="3" t="s">
        <v>43</v>
      </c>
      <c r="F1321" s="3" t="s">
        <v>49</v>
      </c>
      <c r="G1321" s="3" t="s">
        <v>39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1520</v>
      </c>
      <c r="B1322" s="3" t="s">
        <v>83</v>
      </c>
      <c r="C1322" s="3" t="s">
        <v>4</v>
      </c>
      <c r="D1322" s="3" t="s">
        <v>53</v>
      </c>
      <c r="E1322" s="3" t="s">
        <v>37</v>
      </c>
      <c r="F1322" s="3" t="s">
        <v>49</v>
      </c>
      <c r="G1322" s="3" t="s">
        <v>39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1521</v>
      </c>
      <c r="B1323" s="3" t="s">
        <v>173</v>
      </c>
      <c r="C1323" s="3" t="s">
        <v>4</v>
      </c>
      <c r="D1323" s="3" t="s">
        <v>42</v>
      </c>
      <c r="E1323" s="3" t="s">
        <v>43</v>
      </c>
      <c r="F1323" s="3" t="s">
        <v>44</v>
      </c>
      <c r="G1323" s="3" t="s">
        <v>45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1522</v>
      </c>
      <c r="B1324" s="3" t="s">
        <v>266</v>
      </c>
      <c r="C1324" s="3" t="s">
        <v>4</v>
      </c>
      <c r="D1324" s="3" t="s">
        <v>36</v>
      </c>
      <c r="E1324" s="3" t="s">
        <v>43</v>
      </c>
      <c r="F1324" s="3" t="s">
        <v>38</v>
      </c>
      <c r="G1324" s="3" t="s">
        <v>50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1523</v>
      </c>
      <c r="B1325" s="3" t="s">
        <v>399</v>
      </c>
      <c r="C1325" s="3" t="s">
        <v>4</v>
      </c>
      <c r="D1325" s="3" t="s">
        <v>53</v>
      </c>
      <c r="E1325" s="3" t="s">
        <v>43</v>
      </c>
      <c r="F1325" s="3" t="s">
        <v>38</v>
      </c>
      <c r="G1325" s="3" t="s">
        <v>39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1524</v>
      </c>
      <c r="B1326" s="3" t="s">
        <v>252</v>
      </c>
      <c r="C1326" s="3" t="s">
        <v>4</v>
      </c>
      <c r="D1326" s="3" t="s">
        <v>42</v>
      </c>
      <c r="E1326" s="3" t="s">
        <v>43</v>
      </c>
      <c r="F1326" s="3" t="s">
        <v>49</v>
      </c>
      <c r="G1326" s="3" t="s">
        <v>45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1525</v>
      </c>
      <c r="B1327" s="3" t="s">
        <v>119</v>
      </c>
      <c r="C1327" s="3" t="s">
        <v>4</v>
      </c>
      <c r="D1327" s="3" t="s">
        <v>36</v>
      </c>
      <c r="E1327" s="3" t="s">
        <v>43</v>
      </c>
      <c r="F1327" s="3" t="s">
        <v>44</v>
      </c>
      <c r="G1327" s="3" t="s">
        <v>50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1526</v>
      </c>
      <c r="B1328" s="3" t="s">
        <v>368</v>
      </c>
      <c r="C1328" s="3" t="s">
        <v>4</v>
      </c>
      <c r="D1328" s="3" t="s">
        <v>53</v>
      </c>
      <c r="E1328" s="3" t="s">
        <v>43</v>
      </c>
      <c r="F1328" s="3" t="s">
        <v>49</v>
      </c>
      <c r="G1328" s="3" t="s">
        <v>39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1527</v>
      </c>
      <c r="B1329" s="3" t="s">
        <v>70</v>
      </c>
      <c r="C1329" s="3" t="s">
        <v>4</v>
      </c>
      <c r="D1329" s="3" t="s">
        <v>42</v>
      </c>
      <c r="E1329" s="3" t="s">
        <v>43</v>
      </c>
      <c r="F1329" s="3"/>
      <c r="G1329" s="3" t="s">
        <v>39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1528</v>
      </c>
      <c r="B1330" s="3" t="s">
        <v>160</v>
      </c>
      <c r="C1330" s="3" t="s">
        <v>4</v>
      </c>
      <c r="D1330" s="3" t="s">
        <v>48</v>
      </c>
      <c r="E1330" s="3" t="s">
        <v>43</v>
      </c>
      <c r="F1330" s="3" t="s">
        <v>44</v>
      </c>
      <c r="G1330" s="3" t="s">
        <v>45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1529</v>
      </c>
      <c r="B1331" s="3" t="s">
        <v>212</v>
      </c>
      <c r="C1331" s="3" t="s">
        <v>4</v>
      </c>
      <c r="D1331" s="3" t="s">
        <v>42</v>
      </c>
      <c r="E1331" s="3" t="s">
        <v>37</v>
      </c>
      <c r="F1331" s="3" t="s">
        <v>65</v>
      </c>
      <c r="G1331" s="3" t="s">
        <v>50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1530</v>
      </c>
      <c r="B1332" s="3" t="s">
        <v>202</v>
      </c>
      <c r="C1332" s="3" t="s">
        <v>4</v>
      </c>
      <c r="D1332" s="3" t="s">
        <v>53</v>
      </c>
      <c r="E1332" s="3" t="s">
        <v>56</v>
      </c>
      <c r="F1332" s="3" t="s">
        <v>44</v>
      </c>
      <c r="G1332" s="3" t="s">
        <v>45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1531</v>
      </c>
      <c r="B1333" s="3" t="s">
        <v>359</v>
      </c>
      <c r="C1333" s="3" t="s">
        <v>4</v>
      </c>
      <c r="D1333" s="3" t="s">
        <v>53</v>
      </c>
      <c r="E1333" s="3" t="s">
        <v>43</v>
      </c>
      <c r="F1333" s="3" t="s">
        <v>44</v>
      </c>
      <c r="G1333" s="3" t="s">
        <v>39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1532</v>
      </c>
      <c r="B1334" s="3" t="s">
        <v>202</v>
      </c>
      <c r="C1334" s="3" t="s">
        <v>4</v>
      </c>
      <c r="D1334" s="3" t="s">
        <v>48</v>
      </c>
      <c r="E1334" s="3" t="s">
        <v>43</v>
      </c>
      <c r="F1334" s="3" t="s">
        <v>68</v>
      </c>
      <c r="G1334" s="3" t="s">
        <v>50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1533</v>
      </c>
      <c r="B1335" s="3" t="s">
        <v>139</v>
      </c>
      <c r="C1335" s="3" t="s">
        <v>4</v>
      </c>
      <c r="D1335" s="3" t="s">
        <v>42</v>
      </c>
      <c r="E1335" s="3" t="s">
        <v>37</v>
      </c>
      <c r="F1335" s="3" t="s">
        <v>49</v>
      </c>
      <c r="G1335" s="3" t="s">
        <v>45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1534</v>
      </c>
      <c r="B1336" s="3" t="s">
        <v>199</v>
      </c>
      <c r="C1336" s="3" t="s">
        <v>4</v>
      </c>
      <c r="D1336" s="3" t="s">
        <v>53</v>
      </c>
      <c r="E1336" s="3"/>
      <c r="F1336" s="3" t="s">
        <v>44</v>
      </c>
      <c r="G1336" s="3" t="s">
        <v>45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1535</v>
      </c>
      <c r="B1337" s="3" t="s">
        <v>154</v>
      </c>
      <c r="C1337" s="3" t="s">
        <v>4</v>
      </c>
      <c r="D1337" s="3" t="s">
        <v>53</v>
      </c>
      <c r="E1337" s="3" t="s">
        <v>43</v>
      </c>
      <c r="F1337" s="3" t="s">
        <v>44</v>
      </c>
      <c r="G1337" s="3" t="s">
        <v>45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1536</v>
      </c>
      <c r="B1338" s="3" t="s">
        <v>97</v>
      </c>
      <c r="C1338" s="3" t="s">
        <v>4</v>
      </c>
      <c r="D1338" s="3" t="s">
        <v>42</v>
      </c>
      <c r="E1338" s="3" t="s">
        <v>43</v>
      </c>
      <c r="F1338" s="3" t="s">
        <v>49</v>
      </c>
      <c r="G1338" s="3" t="s">
        <v>39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1537</v>
      </c>
      <c r="B1339" s="3" t="s">
        <v>806</v>
      </c>
      <c r="C1339" s="3" t="s">
        <v>4</v>
      </c>
      <c r="D1339" s="3" t="s">
        <v>36</v>
      </c>
      <c r="E1339" s="3" t="s">
        <v>43</v>
      </c>
      <c r="F1339" s="3" t="s">
        <v>44</v>
      </c>
      <c r="G1339" s="3" t="s">
        <v>39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1538</v>
      </c>
      <c r="B1340" s="3" t="s">
        <v>146</v>
      </c>
      <c r="C1340" s="3" t="s">
        <v>4</v>
      </c>
      <c r="D1340" s="3" t="s">
        <v>42</v>
      </c>
      <c r="E1340" s="3" t="s">
        <v>37</v>
      </c>
      <c r="F1340" s="3" t="s">
        <v>44</v>
      </c>
      <c r="G1340" s="3" t="s">
        <v>45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1539</v>
      </c>
      <c r="B1341" s="3" t="s">
        <v>144</v>
      </c>
      <c r="C1341" s="3" t="s">
        <v>4</v>
      </c>
      <c r="D1341" s="3" t="s">
        <v>53</v>
      </c>
      <c r="E1341" s="3" t="s">
        <v>43</v>
      </c>
      <c r="F1341" s="3" t="s">
        <v>38</v>
      </c>
      <c r="G1341" s="3" t="s">
        <v>45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1540</v>
      </c>
      <c r="B1342" s="3" t="s">
        <v>596</v>
      </c>
      <c r="C1342" s="3" t="s">
        <v>4</v>
      </c>
      <c r="D1342" s="3" t="s">
        <v>53</v>
      </c>
      <c r="E1342" s="3" t="s">
        <v>43</v>
      </c>
      <c r="F1342" s="3" t="s">
        <v>38</v>
      </c>
      <c r="G1342" s="3" t="s">
        <v>45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1541</v>
      </c>
      <c r="B1343" s="3" t="s">
        <v>139</v>
      </c>
      <c r="C1343" s="3" t="s">
        <v>4</v>
      </c>
      <c r="D1343" s="3" t="s">
        <v>36</v>
      </c>
      <c r="E1343" s="3" t="s">
        <v>37</v>
      </c>
      <c r="F1343" s="3" t="s">
        <v>68</v>
      </c>
      <c r="G1343" s="3" t="s">
        <v>45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1542</v>
      </c>
      <c r="B1344" s="3" t="s">
        <v>186</v>
      </c>
      <c r="C1344" s="3" t="s">
        <v>4</v>
      </c>
      <c r="D1344" s="3" t="s">
        <v>53</v>
      </c>
      <c r="E1344" s="3" t="s">
        <v>43</v>
      </c>
      <c r="F1344" s="3" t="s">
        <v>44</v>
      </c>
      <c r="G1344" s="3" t="s">
        <v>50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1543</v>
      </c>
      <c r="B1345" s="3" t="s">
        <v>421</v>
      </c>
      <c r="C1345" s="3" t="s">
        <v>4</v>
      </c>
      <c r="D1345" s="3" t="s">
        <v>53</v>
      </c>
      <c r="E1345" s="3" t="s">
        <v>43</v>
      </c>
      <c r="F1345" s="3" t="s">
        <v>38</v>
      </c>
      <c r="G1345" s="3" t="s">
        <v>39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1544</v>
      </c>
      <c r="B1346" s="3" t="s">
        <v>415</v>
      </c>
      <c r="C1346" s="3" t="s">
        <v>4</v>
      </c>
      <c r="D1346" s="3" t="s">
        <v>42</v>
      </c>
      <c r="E1346" s="3" t="s">
        <v>37</v>
      </c>
      <c r="F1346" s="3" t="s">
        <v>44</v>
      </c>
      <c r="G1346" s="3" t="s">
        <v>39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1545</v>
      </c>
      <c r="B1347" s="3" t="s">
        <v>428</v>
      </c>
      <c r="C1347" s="3" t="s">
        <v>4</v>
      </c>
      <c r="D1347" s="3" t="s">
        <v>36</v>
      </c>
      <c r="E1347" s="3" t="s">
        <v>43</v>
      </c>
      <c r="F1347" s="3" t="s">
        <v>68</v>
      </c>
      <c r="G1347" s="3" t="s">
        <v>50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1546</v>
      </c>
      <c r="B1348" s="3" t="s">
        <v>530</v>
      </c>
      <c r="C1348" s="3" t="s">
        <v>4</v>
      </c>
      <c r="D1348" s="3" t="s">
        <v>53</v>
      </c>
      <c r="E1348" s="3" t="s">
        <v>43</v>
      </c>
      <c r="F1348" s="3" t="s">
        <v>68</v>
      </c>
      <c r="G1348" s="3" t="s">
        <v>45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1547</v>
      </c>
      <c r="B1349" s="3" t="s">
        <v>116</v>
      </c>
      <c r="C1349" s="3" t="s">
        <v>4</v>
      </c>
      <c r="D1349" s="3" t="s">
        <v>36</v>
      </c>
      <c r="E1349" s="3" t="s">
        <v>37</v>
      </c>
      <c r="F1349" s="3" t="s">
        <v>44</v>
      </c>
      <c r="G1349" s="3" t="s">
        <v>39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1548</v>
      </c>
      <c r="B1350" s="3" t="s">
        <v>361</v>
      </c>
      <c r="C1350" s="3" t="s">
        <v>4</v>
      </c>
      <c r="D1350" s="3" t="s">
        <v>53</v>
      </c>
      <c r="E1350" s="3" t="s">
        <v>43</v>
      </c>
      <c r="F1350" s="3" t="s">
        <v>44</v>
      </c>
      <c r="G1350" s="3" t="s">
        <v>39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1549</v>
      </c>
      <c r="B1351" s="3" t="s">
        <v>91</v>
      </c>
      <c r="C1351" s="3" t="s">
        <v>4</v>
      </c>
      <c r="D1351" s="3" t="s">
        <v>53</v>
      </c>
      <c r="E1351" s="3" t="s">
        <v>37</v>
      </c>
      <c r="F1351" s="3" t="s">
        <v>49</v>
      </c>
      <c r="G1351" s="3" t="s">
        <v>45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1550</v>
      </c>
      <c r="B1352" s="3" t="s">
        <v>464</v>
      </c>
      <c r="C1352" s="3" t="s">
        <v>4</v>
      </c>
      <c r="D1352" s="3" t="s">
        <v>48</v>
      </c>
      <c r="E1352" s="3" t="s">
        <v>43</v>
      </c>
      <c r="F1352" s="3" t="s">
        <v>68</v>
      </c>
      <c r="G1352" s="3" t="s">
        <v>45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1551</v>
      </c>
      <c r="B1353" s="3" t="s">
        <v>285</v>
      </c>
      <c r="C1353" s="3" t="s">
        <v>4</v>
      </c>
      <c r="D1353" s="3" t="s">
        <v>36</v>
      </c>
      <c r="E1353" s="3" t="s">
        <v>56</v>
      </c>
      <c r="F1353" s="3" t="s">
        <v>68</v>
      </c>
      <c r="G1353" s="3" t="s">
        <v>39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1552</v>
      </c>
      <c r="B1354" s="3" t="s">
        <v>186</v>
      </c>
      <c r="C1354" s="3" t="s">
        <v>4</v>
      </c>
      <c r="D1354" s="3" t="s">
        <v>48</v>
      </c>
      <c r="E1354" s="3" t="s">
        <v>37</v>
      </c>
      <c r="F1354" s="3" t="s">
        <v>49</v>
      </c>
      <c r="G1354" s="3" t="s">
        <v>45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1553</v>
      </c>
      <c r="B1355" s="3" t="s">
        <v>52</v>
      </c>
      <c r="C1355" s="3" t="s">
        <v>4</v>
      </c>
      <c r="D1355" s="3" t="s">
        <v>48</v>
      </c>
      <c r="E1355" s="3" t="s">
        <v>43</v>
      </c>
      <c r="F1355" s="3" t="s">
        <v>44</v>
      </c>
      <c r="G1355" s="3" t="s">
        <v>45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1554</v>
      </c>
      <c r="B1356" s="3" t="s">
        <v>450</v>
      </c>
      <c r="C1356" s="3" t="s">
        <v>4</v>
      </c>
      <c r="D1356" s="3" t="s">
        <v>42</v>
      </c>
      <c r="E1356" s="3" t="s">
        <v>37</v>
      </c>
      <c r="F1356" s="3" t="s">
        <v>44</v>
      </c>
      <c r="G1356" s="3" t="s">
        <v>45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1555</v>
      </c>
      <c r="B1357" s="3" t="s">
        <v>402</v>
      </c>
      <c r="C1357" s="3" t="s">
        <v>4</v>
      </c>
      <c r="D1357" s="3" t="s">
        <v>36</v>
      </c>
      <c r="E1357" s="3" t="s">
        <v>37</v>
      </c>
      <c r="F1357" s="3"/>
      <c r="G1357" s="3" t="s">
        <v>45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1556</v>
      </c>
      <c r="B1358" s="3" t="s">
        <v>190</v>
      </c>
      <c r="C1358" s="3" t="s">
        <v>4</v>
      </c>
      <c r="D1358" s="3" t="s">
        <v>42</v>
      </c>
      <c r="E1358" s="3" t="s">
        <v>37</v>
      </c>
      <c r="F1358" s="3" t="s">
        <v>44</v>
      </c>
      <c r="G1358" s="3" t="s">
        <v>45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1557</v>
      </c>
      <c r="B1359" s="3" t="s">
        <v>116</v>
      </c>
      <c r="C1359" s="3" t="s">
        <v>4</v>
      </c>
      <c r="D1359" s="3" t="s">
        <v>42</v>
      </c>
      <c r="E1359" s="3" t="s">
        <v>43</v>
      </c>
      <c r="F1359" s="3" t="s">
        <v>68</v>
      </c>
      <c r="G1359" s="3" t="s">
        <v>45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1558</v>
      </c>
      <c r="B1360" s="3" t="s">
        <v>70</v>
      </c>
      <c r="C1360" s="3" t="s">
        <v>4</v>
      </c>
      <c r="D1360" s="3" t="s">
        <v>42</v>
      </c>
      <c r="E1360" s="3" t="s">
        <v>43</v>
      </c>
      <c r="F1360" s="3" t="s">
        <v>44</v>
      </c>
      <c r="G1360" s="3" t="s">
        <v>45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1559</v>
      </c>
      <c r="B1361" s="3" t="s">
        <v>169</v>
      </c>
      <c r="C1361" s="3" t="s">
        <v>4</v>
      </c>
      <c r="D1361" s="3" t="s">
        <v>53</v>
      </c>
      <c r="E1361" s="3" t="s">
        <v>43</v>
      </c>
      <c r="F1361" s="3" t="s">
        <v>68</v>
      </c>
      <c r="G1361" s="3" t="s">
        <v>39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1560</v>
      </c>
      <c r="B1362" s="3" t="s">
        <v>70</v>
      </c>
      <c r="C1362" s="3" t="s">
        <v>4</v>
      </c>
      <c r="D1362" s="3" t="s">
        <v>36</v>
      </c>
      <c r="E1362" s="3" t="s">
        <v>43</v>
      </c>
      <c r="F1362" s="3" t="s">
        <v>68</v>
      </c>
      <c r="G1362" s="3" t="s">
        <v>39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1561</v>
      </c>
      <c r="B1363" s="3" t="s">
        <v>421</v>
      </c>
      <c r="C1363" s="3" t="s">
        <v>4</v>
      </c>
      <c r="D1363" s="3" t="s">
        <v>48</v>
      </c>
      <c r="E1363" s="3" t="s">
        <v>43</v>
      </c>
      <c r="F1363" s="3" t="s">
        <v>44</v>
      </c>
      <c r="G1363" s="3" t="s">
        <v>39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1562</v>
      </c>
      <c r="B1364" s="3" t="s">
        <v>334</v>
      </c>
      <c r="C1364" s="3" t="s">
        <v>4</v>
      </c>
      <c r="D1364" s="3" t="s">
        <v>53</v>
      </c>
      <c r="E1364" s="3" t="s">
        <v>43</v>
      </c>
      <c r="F1364" s="3" t="s">
        <v>49</v>
      </c>
      <c r="G1364" s="3" t="s">
        <v>50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1563</v>
      </c>
      <c r="B1365" s="3" t="s">
        <v>386</v>
      </c>
      <c r="C1365" s="3" t="s">
        <v>4</v>
      </c>
      <c r="D1365" s="3" t="s">
        <v>36</v>
      </c>
      <c r="E1365" s="3" t="s">
        <v>43</v>
      </c>
      <c r="F1365" s="3" t="s">
        <v>44</v>
      </c>
      <c r="G1365" s="3" t="s">
        <v>50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1564</v>
      </c>
      <c r="B1366" s="3" t="s">
        <v>425</v>
      </c>
      <c r="C1366" s="3" t="s">
        <v>4</v>
      </c>
      <c r="D1366" s="3" t="s">
        <v>36</v>
      </c>
      <c r="E1366" s="3" t="s">
        <v>37</v>
      </c>
      <c r="F1366" s="3" t="s">
        <v>44</v>
      </c>
      <c r="G1366" s="3" t="s">
        <v>39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1565</v>
      </c>
      <c r="B1367" s="3" t="s">
        <v>446</v>
      </c>
      <c r="C1367" s="3" t="s">
        <v>4</v>
      </c>
      <c r="D1367" s="3" t="s">
        <v>53</v>
      </c>
      <c r="E1367" s="3" t="s">
        <v>43</v>
      </c>
      <c r="F1367" s="3" t="s">
        <v>68</v>
      </c>
      <c r="G1367" s="3" t="s">
        <v>50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1566</v>
      </c>
      <c r="B1368" s="3" t="s">
        <v>104</v>
      </c>
      <c r="C1368" s="3" t="s">
        <v>4</v>
      </c>
      <c r="D1368" s="3" t="s">
        <v>36</v>
      </c>
      <c r="E1368" s="3" t="s">
        <v>43</v>
      </c>
      <c r="F1368" s="3" t="s">
        <v>44</v>
      </c>
      <c r="G1368" s="3" t="s">
        <v>39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1567</v>
      </c>
      <c r="B1369" s="3" t="s">
        <v>283</v>
      </c>
      <c r="C1369" s="3" t="s">
        <v>4</v>
      </c>
      <c r="D1369" s="3" t="s">
        <v>48</v>
      </c>
      <c r="E1369" s="3" t="s">
        <v>43</v>
      </c>
      <c r="F1369" s="3" t="s">
        <v>65</v>
      </c>
      <c r="G1369" s="3" t="s">
        <v>45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1568</v>
      </c>
      <c r="B1370" s="3" t="s">
        <v>166</v>
      </c>
      <c r="C1370" s="3" t="s">
        <v>4</v>
      </c>
      <c r="D1370" s="3" t="s">
        <v>42</v>
      </c>
      <c r="E1370" s="3" t="s">
        <v>37</v>
      </c>
      <c r="F1370" s="3" t="s">
        <v>49</v>
      </c>
      <c r="G1370" s="3" t="s">
        <v>39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1569</v>
      </c>
      <c r="B1371" s="3" t="s">
        <v>368</v>
      </c>
      <c r="C1371" s="3" t="s">
        <v>4</v>
      </c>
      <c r="D1371" s="3" t="s">
        <v>48</v>
      </c>
      <c r="E1371" s="3" t="s">
        <v>43</v>
      </c>
      <c r="F1371" s="3" t="s">
        <v>44</v>
      </c>
      <c r="G1371" s="3" t="s">
        <v>45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1570</v>
      </c>
      <c r="B1372" s="3" t="s">
        <v>166</v>
      </c>
      <c r="C1372" s="3" t="s">
        <v>4</v>
      </c>
      <c r="D1372" s="3" t="s">
        <v>36</v>
      </c>
      <c r="E1372" s="3" t="s">
        <v>43</v>
      </c>
      <c r="F1372" s="3" t="s">
        <v>44</v>
      </c>
      <c r="G1372" s="3" t="s">
        <v>45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1571</v>
      </c>
      <c r="B1373" s="3" t="s">
        <v>319</v>
      </c>
      <c r="C1373" s="3" t="s">
        <v>4</v>
      </c>
      <c r="D1373" s="3" t="s">
        <v>48</v>
      </c>
      <c r="E1373" s="3" t="s">
        <v>37</v>
      </c>
      <c r="F1373" s="3" t="s">
        <v>44</v>
      </c>
      <c r="G1373" s="3" t="s">
        <v>45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1572</v>
      </c>
      <c r="B1374" s="3" t="s">
        <v>87</v>
      </c>
      <c r="C1374" s="3" t="s">
        <v>4</v>
      </c>
      <c r="D1374" s="3" t="s">
        <v>48</v>
      </c>
      <c r="E1374" s="3" t="s">
        <v>37</v>
      </c>
      <c r="F1374" s="3" t="s">
        <v>49</v>
      </c>
      <c r="G1374" s="3" t="s">
        <v>45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1573</v>
      </c>
      <c r="B1375" s="3" t="s">
        <v>164</v>
      </c>
      <c r="C1375" s="3" t="s">
        <v>4</v>
      </c>
      <c r="D1375" s="3" t="s">
        <v>53</v>
      </c>
      <c r="E1375" s="3" t="s">
        <v>43</v>
      </c>
      <c r="F1375" s="3" t="s">
        <v>68</v>
      </c>
      <c r="G1375" s="3" t="s">
        <v>45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1574</v>
      </c>
      <c r="B1376" s="3" t="s">
        <v>79</v>
      </c>
      <c r="C1376" s="3" t="s">
        <v>4</v>
      </c>
      <c r="D1376" s="3" t="s">
        <v>42</v>
      </c>
      <c r="E1376" s="3" t="s">
        <v>37</v>
      </c>
      <c r="F1376" s="3" t="s">
        <v>38</v>
      </c>
      <c r="G1376" s="3" t="s">
        <v>50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1575</v>
      </c>
      <c r="B1377" s="3" t="s">
        <v>99</v>
      </c>
      <c r="C1377" s="3" t="s">
        <v>4</v>
      </c>
      <c r="D1377" s="3" t="s">
        <v>36</v>
      </c>
      <c r="E1377" s="3" t="s">
        <v>43</v>
      </c>
      <c r="F1377" s="3" t="s">
        <v>44</v>
      </c>
      <c r="G1377" s="3" t="s">
        <v>50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1576</v>
      </c>
      <c r="B1378" s="3" t="s">
        <v>1065</v>
      </c>
      <c r="C1378" s="3" t="s">
        <v>4</v>
      </c>
      <c r="D1378" s="3" t="s">
        <v>48</v>
      </c>
      <c r="E1378" s="3" t="s">
        <v>43</v>
      </c>
      <c r="F1378" s="3" t="s">
        <v>44</v>
      </c>
      <c r="G1378" s="3" t="s">
        <v>39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1577</v>
      </c>
      <c r="B1379" s="3" t="s">
        <v>125</v>
      </c>
      <c r="C1379" s="3" t="s">
        <v>4</v>
      </c>
      <c r="D1379" s="3" t="s">
        <v>36</v>
      </c>
      <c r="E1379" s="3" t="s">
        <v>37</v>
      </c>
      <c r="F1379" s="3" t="s">
        <v>49</v>
      </c>
      <c r="G1379" s="3" t="s">
        <v>45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1578</v>
      </c>
      <c r="B1380" s="3" t="s">
        <v>386</v>
      </c>
      <c r="C1380" s="3" t="s">
        <v>4</v>
      </c>
      <c r="D1380" s="3" t="s">
        <v>36</v>
      </c>
      <c r="E1380" s="3" t="s">
        <v>56</v>
      </c>
      <c r="F1380" s="3" t="s">
        <v>68</v>
      </c>
      <c r="G1380" s="3" t="s">
        <v>39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1579</v>
      </c>
      <c r="B1381" s="3" t="s">
        <v>89</v>
      </c>
      <c r="C1381" s="3" t="s">
        <v>4</v>
      </c>
      <c r="D1381" s="3" t="s">
        <v>53</v>
      </c>
      <c r="E1381" s="3" t="s">
        <v>37</v>
      </c>
      <c r="F1381" s="3" t="s">
        <v>44</v>
      </c>
      <c r="G1381" s="3" t="s">
        <v>45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1580</v>
      </c>
      <c r="B1382" s="3" t="s">
        <v>500</v>
      </c>
      <c r="C1382" s="3" t="s">
        <v>4</v>
      </c>
      <c r="D1382" s="3" t="s">
        <v>42</v>
      </c>
      <c r="E1382" s="3" t="s">
        <v>37</v>
      </c>
      <c r="F1382" s="3" t="s">
        <v>49</v>
      </c>
      <c r="G1382" s="3" t="s">
        <v>50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1581</v>
      </c>
      <c r="B1383" s="3" t="s">
        <v>262</v>
      </c>
      <c r="C1383" s="3" t="s">
        <v>4</v>
      </c>
      <c r="D1383" s="3" t="s">
        <v>42</v>
      </c>
      <c r="E1383" s="3" t="s">
        <v>43</v>
      </c>
      <c r="F1383" s="3" t="s">
        <v>38</v>
      </c>
      <c r="G1383" s="3" t="s">
        <v>45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1582</v>
      </c>
      <c r="B1384" s="3" t="s">
        <v>500</v>
      </c>
      <c r="C1384" s="3" t="s">
        <v>4</v>
      </c>
      <c r="D1384" s="3" t="s">
        <v>48</v>
      </c>
      <c r="E1384" s="3" t="s">
        <v>37</v>
      </c>
      <c r="F1384" s="3" t="s">
        <v>49</v>
      </c>
      <c r="G1384" s="3" t="s">
        <v>45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1583</v>
      </c>
      <c r="B1385" s="3" t="s">
        <v>237</v>
      </c>
      <c r="C1385" s="3" t="s">
        <v>4</v>
      </c>
      <c r="D1385" s="3" t="s">
        <v>42</v>
      </c>
      <c r="E1385" s="3" t="s">
        <v>43</v>
      </c>
      <c r="F1385" s="3" t="s">
        <v>49</v>
      </c>
      <c r="G1385" s="3" t="s">
        <v>45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1584</v>
      </c>
      <c r="B1386" s="3" t="s">
        <v>365</v>
      </c>
      <c r="C1386" s="3" t="s">
        <v>4</v>
      </c>
      <c r="D1386" s="3" t="s">
        <v>42</v>
      </c>
      <c r="E1386" s="3" t="s">
        <v>43</v>
      </c>
      <c r="F1386" s="3" t="s">
        <v>44</v>
      </c>
      <c r="G1386" s="3" t="s">
        <v>45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1585</v>
      </c>
      <c r="B1387" s="3" t="s">
        <v>365</v>
      </c>
      <c r="C1387" s="3" t="s">
        <v>4</v>
      </c>
      <c r="D1387" s="3" t="s">
        <v>36</v>
      </c>
      <c r="E1387" s="3" t="s">
        <v>56</v>
      </c>
      <c r="F1387" s="3" t="s">
        <v>49</v>
      </c>
      <c r="G1387" s="3" t="s">
        <v>39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1586</v>
      </c>
      <c r="B1388" s="3" t="s">
        <v>192</v>
      </c>
      <c r="C1388" s="3" t="s">
        <v>4</v>
      </c>
      <c r="D1388" s="3" t="s">
        <v>42</v>
      </c>
      <c r="E1388" s="3" t="s">
        <v>37</v>
      </c>
      <c r="F1388" s="3" t="s">
        <v>49</v>
      </c>
      <c r="G1388" s="3" t="s">
        <v>45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1587</v>
      </c>
      <c r="B1389" s="3" t="s">
        <v>229</v>
      </c>
      <c r="C1389" s="3" t="s">
        <v>4</v>
      </c>
      <c r="D1389" s="3" t="s">
        <v>36</v>
      </c>
      <c r="E1389" s="3" t="s">
        <v>43</v>
      </c>
      <c r="F1389" s="3" t="s">
        <v>65</v>
      </c>
      <c r="G1389" s="3" t="s">
        <v>45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1588</v>
      </c>
      <c r="B1390" s="3" t="s">
        <v>273</v>
      </c>
      <c r="C1390" s="3" t="s">
        <v>4</v>
      </c>
      <c r="D1390" s="3" t="s">
        <v>53</v>
      </c>
      <c r="E1390" s="3" t="s">
        <v>37</v>
      </c>
      <c r="F1390" s="3" t="s">
        <v>44</v>
      </c>
      <c r="G1390" s="3" t="s">
        <v>45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1589</v>
      </c>
      <c r="B1391" s="3" t="s">
        <v>377</v>
      </c>
      <c r="C1391" s="3" t="s">
        <v>4</v>
      </c>
      <c r="D1391" s="3" t="s">
        <v>36</v>
      </c>
      <c r="E1391" s="3" t="s">
        <v>43</v>
      </c>
      <c r="F1391" s="3" t="s">
        <v>49</v>
      </c>
      <c r="G1391" s="3" t="s">
        <v>45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1590</v>
      </c>
      <c r="B1392" s="3" t="s">
        <v>563</v>
      </c>
      <c r="C1392" s="3" t="s">
        <v>4</v>
      </c>
      <c r="D1392" s="3" t="s">
        <v>42</v>
      </c>
      <c r="E1392" s="3" t="s">
        <v>43</v>
      </c>
      <c r="F1392" s="3" t="s">
        <v>44</v>
      </c>
      <c r="G1392" s="3" t="s">
        <v>39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1591</v>
      </c>
      <c r="B1393" s="3" t="s">
        <v>180</v>
      </c>
      <c r="C1393" s="3" t="s">
        <v>4</v>
      </c>
      <c r="D1393" s="3" t="s">
        <v>48</v>
      </c>
      <c r="E1393" s="3" t="s">
        <v>43</v>
      </c>
      <c r="F1393" s="3" t="s">
        <v>49</v>
      </c>
      <c r="G1393" s="3" t="s">
        <v>45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1592</v>
      </c>
      <c r="B1394" s="3" t="s">
        <v>171</v>
      </c>
      <c r="C1394" s="3" t="s">
        <v>4</v>
      </c>
      <c r="D1394" s="3" t="s">
        <v>48</v>
      </c>
      <c r="E1394" s="3" t="s">
        <v>43</v>
      </c>
      <c r="F1394" s="3" t="s">
        <v>44</v>
      </c>
      <c r="G1394" s="3" t="s">
        <v>45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1593</v>
      </c>
      <c r="B1395" s="3" t="s">
        <v>83</v>
      </c>
      <c r="C1395" s="3" t="s">
        <v>4</v>
      </c>
      <c r="D1395" s="3" t="s">
        <v>48</v>
      </c>
      <c r="E1395" s="3" t="s">
        <v>56</v>
      </c>
      <c r="F1395" s="3" t="s">
        <v>44</v>
      </c>
      <c r="G1395" s="3" t="s">
        <v>45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1594</v>
      </c>
      <c r="B1396" s="3" t="s">
        <v>205</v>
      </c>
      <c r="C1396" s="3" t="s">
        <v>4</v>
      </c>
      <c r="D1396" s="3" t="s">
        <v>36</v>
      </c>
      <c r="E1396" s="3" t="s">
        <v>56</v>
      </c>
      <c r="F1396" s="3" t="s">
        <v>65</v>
      </c>
      <c r="G1396" s="3" t="s">
        <v>50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1595</v>
      </c>
      <c r="B1397" s="3" t="s">
        <v>219</v>
      </c>
      <c r="C1397" s="3" t="s">
        <v>4</v>
      </c>
      <c r="D1397" s="3" t="s">
        <v>53</v>
      </c>
      <c r="E1397" s="3" t="s">
        <v>43</v>
      </c>
      <c r="F1397" s="3"/>
      <c r="G1397" s="3" t="s">
        <v>50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1596</v>
      </c>
      <c r="B1398" s="3" t="s">
        <v>154</v>
      </c>
      <c r="C1398" s="3" t="s">
        <v>4</v>
      </c>
      <c r="D1398" s="3" t="s">
        <v>42</v>
      </c>
      <c r="E1398" s="3" t="s">
        <v>43</v>
      </c>
      <c r="F1398" s="3" t="s">
        <v>44</v>
      </c>
      <c r="G1398" s="3" t="s">
        <v>45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1597</v>
      </c>
      <c r="B1399" s="3" t="s">
        <v>152</v>
      </c>
      <c r="C1399" s="3" t="s">
        <v>4</v>
      </c>
      <c r="D1399" s="3" t="s">
        <v>42</v>
      </c>
      <c r="E1399" s="3" t="s">
        <v>56</v>
      </c>
      <c r="F1399" s="3" t="s">
        <v>44</v>
      </c>
      <c r="G1399" s="3" t="s">
        <v>50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1598</v>
      </c>
      <c r="B1400" s="3" t="s">
        <v>224</v>
      </c>
      <c r="C1400" s="3" t="s">
        <v>4</v>
      </c>
      <c r="D1400" s="3" t="s">
        <v>48</v>
      </c>
      <c r="E1400" s="3" t="s">
        <v>43</v>
      </c>
      <c r="F1400" s="3" t="s">
        <v>65</v>
      </c>
      <c r="G1400" s="3" t="s">
        <v>45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1599</v>
      </c>
      <c r="B1401" s="3" t="s">
        <v>377</v>
      </c>
      <c r="C1401" s="3" t="s">
        <v>4</v>
      </c>
      <c r="D1401" s="3" t="s">
        <v>48</v>
      </c>
      <c r="E1401" s="3" t="s">
        <v>37</v>
      </c>
      <c r="F1401" s="3" t="s">
        <v>68</v>
      </c>
      <c r="G1401" s="3" t="s">
        <v>45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</cols>
  <sheetData>
    <row r="1" customFormat="false" ht="17.35" hidden="false" customHeight="false" outlineLevel="0" collapsed="false">
      <c r="A1" s="2" t="s">
        <v>1600</v>
      </c>
    </row>
    <row r="2" customFormat="false" ht="30" hidden="false" customHeight="true" outlineLevel="0" collapsed="false">
      <c r="A2" s="11" t="s">
        <v>1601</v>
      </c>
    </row>
    <row r="4" customFormat="false" ht="15" hidden="false" customHeight="false" outlineLevel="0" collapsed="false">
      <c r="A4" s="12" t="s">
        <v>11</v>
      </c>
    </row>
    <row r="5" customFormat="false" ht="15" hidden="false" customHeight="false" outlineLevel="0" collapsed="false">
      <c r="A5" s="13" t="s">
        <v>1602</v>
      </c>
      <c r="B5" s="13" t="s">
        <v>3</v>
      </c>
      <c r="C5" s="13" t="s">
        <v>4</v>
      </c>
      <c r="D5" s="13" t="s">
        <v>1603</v>
      </c>
    </row>
    <row r="6" customFormat="false" ht="15" hidden="false" customHeight="false" outlineLevel="0" collapsed="false">
      <c r="A6" s="14" t="s">
        <v>48</v>
      </c>
      <c r="B6" s="8" t="n">
        <f aca="false">AVERAGEIFS(Clean_Data!$K$2:$K$1401,Clean_Data!$C$2:$C$1401,"Control",Clean_Data!$D$2:$D$1401,"East")</f>
        <v>0.0254777070063694</v>
      </c>
      <c r="C6" s="8" t="n">
        <f aca="false">AVERAGEIFS(Clean_Data!$K$2:$K$1401,Clean_Data!$C$2:$C$1401,"Treatment",Clean_Data!$D$2:$D$1401,"East")</f>
        <v>0.0647058823529412</v>
      </c>
      <c r="D6" s="8" t="n">
        <f aca="false">C6-B6</f>
        <v>0.0392281753465718</v>
      </c>
    </row>
    <row r="7" customFormat="false" ht="15" hidden="false" customHeight="false" outlineLevel="0" collapsed="false">
      <c r="A7" s="14" t="s">
        <v>36</v>
      </c>
      <c r="B7" s="8" t="n">
        <f aca="false">AVERAGEIFS(Clean_Data!$K$2:$K$1401,Clean_Data!$C$2:$C$1401,"Control",Clean_Data!$D$2:$D$1401,"North")</f>
        <v>0.0348258706467662</v>
      </c>
      <c r="C7" s="8" t="n">
        <f aca="false">AVERAGEIFS(Clean_Data!$K$2:$K$1401,Clean_Data!$C$2:$C$1401,"Treatment",Clean_Data!$D$2:$D$1401,"North")</f>
        <v>0.0888888888888889</v>
      </c>
      <c r="D7" s="8" t="n">
        <f aca="false">C7-B7</f>
        <v>0.0540630182421227</v>
      </c>
    </row>
    <row r="8" customFormat="false" ht="15" hidden="false" customHeight="false" outlineLevel="0" collapsed="false">
      <c r="A8" s="14" t="s">
        <v>53</v>
      </c>
      <c r="B8" s="8" t="n">
        <f aca="false">AVERAGEIFS(Clean_Data!$K$2:$K$1401,Clean_Data!$C$2:$C$1401,"Control",Clean_Data!$D$2:$D$1401,"South")</f>
        <v>0.0326086956521739</v>
      </c>
      <c r="C8" s="8" t="n">
        <f aca="false">AVERAGEIFS(Clean_Data!$K$2:$K$1401,Clean_Data!$C$2:$C$1401,"Treatment",Clean_Data!$D$2:$D$1401,"South")</f>
        <v>0.0765027322404372</v>
      </c>
      <c r="D8" s="8" t="n">
        <f aca="false">C8-B8</f>
        <v>0.0438940365882633</v>
      </c>
    </row>
    <row r="9" customFormat="false" ht="15" hidden="false" customHeight="false" outlineLevel="0" collapsed="false">
      <c r="A9" s="14" t="s">
        <v>42</v>
      </c>
      <c r="B9" s="8" t="n">
        <f aca="false">AVERAGEIFS(Clean_Data!$K$2:$K$1401,Clean_Data!$C$2:$C$1401,"Control",Clean_Data!$D$2:$D$1401,"West")</f>
        <v>0.0337837837837838</v>
      </c>
      <c r="C9" s="8" t="n">
        <f aca="false">AVERAGEIFS(Clean_Data!$K$2:$K$1401,Clean_Data!$C$2:$C$1401,"Treatment",Clean_Data!$D$2:$D$1401,"West")</f>
        <v>0.0508474576271187</v>
      </c>
      <c r="D9" s="8" t="n">
        <f aca="false">C9-B9</f>
        <v>0.0170636738433349</v>
      </c>
    </row>
    <row r="10" customFormat="false" ht="15" hidden="false" customHeight="false" outlineLevel="0" collapsed="false">
      <c r="A10" s="1" t="s">
        <v>1604</v>
      </c>
      <c r="B10" s="1" t="s">
        <v>3</v>
      </c>
      <c r="C10" s="1" t="s">
        <v>4</v>
      </c>
      <c r="D10" s="1" t="s">
        <v>1603</v>
      </c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4" t="s">
        <v>37</v>
      </c>
      <c r="B12" s="8" t="n">
        <f aca="false">AVERAGEIFS(Clean_Data!$K$2:$K$1401,Clean_Data!$C$2:$C$1401,"Control",Clean_Data!$E$2:$E$1401,"Desktop")</f>
        <v>0.045</v>
      </c>
      <c r="C12" s="8" t="n">
        <f aca="false">AVERAGEIFS(Clean_Data!$K$2:$K$1401,Clean_Data!$C$2:$C$1401,"Treatment",Clean_Data!$E$2:$E$1401,"Desktop")</f>
        <v>0.0657276995305164</v>
      </c>
      <c r="D12" s="8" t="n">
        <f aca="false">C12-B12</f>
        <v>0.0207276995305164</v>
      </c>
    </row>
    <row r="13" customFormat="false" ht="15" hidden="false" customHeight="false" outlineLevel="0" collapsed="false">
      <c r="A13" s="14" t="s">
        <v>43</v>
      </c>
      <c r="B13" s="8" t="n">
        <f aca="false">AVERAGEIFS(Clean_Data!$K$2:$K$1401,Clean_Data!$C$2:$C$1401,"Control",Clean_Data!$E$2:$E$1401,"Mobile")</f>
        <v>0.0258215962441315</v>
      </c>
      <c r="C13" s="8" t="n">
        <f aca="false">AVERAGEIFS(Clean_Data!$K$2:$K$1401,Clean_Data!$C$2:$C$1401,"Treatment",Clean_Data!$E$2:$E$1401,"Mobile")</f>
        <v>0.0740740740740741</v>
      </c>
      <c r="D13" s="8" t="n">
        <f aca="false">C13-B13</f>
        <v>0.0482524778299426</v>
      </c>
    </row>
    <row r="14" customFormat="false" ht="15" hidden="false" customHeight="false" outlineLevel="0" collapsed="false">
      <c r="A14" s="14" t="s">
        <v>56</v>
      </c>
      <c r="B14" s="8" t="n">
        <f aca="false">AVERAGEIFS(Clean_Data!$K$2:$K$1401,Clean_Data!$C$2:$C$1401,"Control",Clean_Data!$E$2:$E$1401,"Tablet")</f>
        <v>0.0181818181818182</v>
      </c>
      <c r="C14" s="8" t="n">
        <f aca="false">AVERAGEIFS(Clean_Data!$K$2:$K$1401,Clean_Data!$C$2:$C$1401,"Treatment",Clean_Data!$E$2:$E$1401,"Tablet")</f>
        <v>0.0714285714285714</v>
      </c>
      <c r="D14" s="8" t="n">
        <f aca="false">C14-B14</f>
        <v>0.0532467532467532</v>
      </c>
    </row>
    <row r="15" customFormat="false" ht="15" hidden="false" customHeight="false" outlineLevel="0" collapsed="false">
      <c r="A15" s="1" t="s">
        <v>1605</v>
      </c>
      <c r="B15" s="1" t="s">
        <v>3</v>
      </c>
      <c r="C15" s="1" t="s">
        <v>4</v>
      </c>
      <c r="D15" s="1" t="s">
        <v>1603</v>
      </c>
    </row>
    <row r="16" customFormat="false" ht="15" hidden="false" customHeight="false" outlineLevel="0" collapsed="false">
      <c r="A16" s="13"/>
      <c r="B16" s="13"/>
      <c r="C16" s="13"/>
      <c r="D16" s="13"/>
    </row>
    <row r="17" customFormat="false" ht="15" hidden="false" customHeight="false" outlineLevel="0" collapsed="false">
      <c r="A17" s="14" t="s">
        <v>39</v>
      </c>
      <c r="B17" s="8" t="n">
        <f aca="false">AVERAGEIFS(Clean_Data!$K$2:$K$1401,Clean_Data!$C$2:$C$1401,"Control",Clean_Data!$G$2:$G$1401,"Basic")</f>
        <v>0.0361990950226244</v>
      </c>
      <c r="C17" s="8" t="n">
        <f aca="false">AVERAGEIFS(Clean_Data!$K$2:$K$1401,Clean_Data!$C$2:$C$1401,"Treatment",Clean_Data!$G$2:$G$1401,"Basic")</f>
        <v>0.0387931034482759</v>
      </c>
      <c r="D17" s="8" t="n">
        <f aca="false">C17-B17</f>
        <v>0.00259400842565143</v>
      </c>
    </row>
    <row r="18" customFormat="false" ht="15" hidden="false" customHeight="false" outlineLevel="0" collapsed="false">
      <c r="A18" s="14" t="s">
        <v>45</v>
      </c>
      <c r="B18" s="8" t="n">
        <f aca="false">AVERAGEIFS(Clean_Data!$K$2:$K$1401,Clean_Data!$C$2:$C$1401,"Control",Clean_Data!$G$2:$G$1401,"Free")</f>
        <v>0.0305555555555556</v>
      </c>
      <c r="C18" s="8" t="n">
        <f aca="false">AVERAGEIFS(Clean_Data!$K$2:$K$1401,Clean_Data!$C$2:$C$1401,"Treatment",Clean_Data!$G$2:$G$1401,"Free")</f>
        <v>0.092896174863388</v>
      </c>
      <c r="D18" s="8" t="n">
        <f aca="false">C18-B18</f>
        <v>0.0623406193078324</v>
      </c>
    </row>
    <row r="19" customFormat="false" ht="15" hidden="false" customHeight="false" outlineLevel="0" collapsed="false">
      <c r="A19" s="14" t="s">
        <v>50</v>
      </c>
      <c r="B19" s="8" t="n">
        <f aca="false">AVERAGEIFS(Clean_Data!$K$2:$K$1401,Clean_Data!$C$2:$C$1401,"Control",Clean_Data!$G$2:$G$1401,"Premium")</f>
        <v>0.0275229357798165</v>
      </c>
      <c r="C19" s="8" t="n">
        <f aca="false">AVERAGEIFS(Clean_Data!$K$2:$K$1401,Clean_Data!$C$2:$C$1401,"Treatment",Clean_Data!$G$2:$G$1401,"Premium")</f>
        <v>0.0625</v>
      </c>
      <c r="D19" s="8" t="n">
        <f aca="false">C19-B19</f>
        <v>0.0349770642201835</v>
      </c>
    </row>
    <row r="22" customFormat="false" ht="15" hidden="false" customHeight="false" outlineLevel="0" collapsed="false">
      <c r="A22" s="12" t="s">
        <v>10</v>
      </c>
    </row>
    <row r="23" customFormat="false" ht="15" hidden="false" customHeight="false" outlineLevel="0" collapsed="false">
      <c r="A23" s="13" t="s">
        <v>1602</v>
      </c>
      <c r="B23" s="13" t="s">
        <v>3</v>
      </c>
      <c r="C23" s="13" t="s">
        <v>4</v>
      </c>
      <c r="D23" s="13" t="s">
        <v>1603</v>
      </c>
    </row>
    <row r="24" customFormat="false" ht="15" hidden="false" customHeight="false" outlineLevel="0" collapsed="false">
      <c r="A24" s="14" t="s">
        <v>48</v>
      </c>
      <c r="B24" s="8" t="n">
        <f aca="false">AVERAGEIFS(Clean_Data!$J$2:$J$1401,Clean_Data!$C$2:$C$1401,"Control",Clean_Data!$D$2:$D$1401,"East")</f>
        <v>0.203821656050955</v>
      </c>
      <c r="C24" s="8" t="n">
        <f aca="false">AVERAGEIFS(Clean_Data!$J$2:$J$1401,Clean_Data!$C$2:$C$1401,"Treatment",Clean_Data!$D$2:$D$1401,"East")</f>
        <v>0.211764705882353</v>
      </c>
      <c r="D24" s="8" t="n">
        <f aca="false">C24-B24</f>
        <v>0.00794304983139751</v>
      </c>
    </row>
    <row r="25" customFormat="false" ht="15" hidden="false" customHeight="false" outlineLevel="0" collapsed="false">
      <c r="A25" s="14" t="s">
        <v>36</v>
      </c>
      <c r="B25" s="8" t="n">
        <f aca="false">AVERAGEIFS(Clean_Data!$J$2:$J$1401,Clean_Data!$C$2:$C$1401,"Control",Clean_Data!$D$2:$D$1401,"North")</f>
        <v>0.139303482587065</v>
      </c>
      <c r="C25" s="8" t="n">
        <f aca="false">AVERAGEIFS(Clean_Data!$J$2:$J$1401,Clean_Data!$C$2:$C$1401,"Treatment",Clean_Data!$D$2:$D$1401,"North")</f>
        <v>0.238888888888889</v>
      </c>
      <c r="D25" s="8" t="n">
        <f aca="false">C25-B25</f>
        <v>0.0995854063018242</v>
      </c>
    </row>
    <row r="26" customFormat="false" ht="15" hidden="false" customHeight="false" outlineLevel="0" collapsed="false">
      <c r="A26" s="14" t="s">
        <v>53</v>
      </c>
      <c r="B26" s="8" t="n">
        <f aca="false">AVERAGEIFS(Clean_Data!$J$2:$J$1401,Clean_Data!$C$2:$C$1401,"Control",Clean_Data!$D$2:$D$1401,"South")</f>
        <v>0.130434782608696</v>
      </c>
      <c r="C26" s="8" t="n">
        <f aca="false">AVERAGEIFS(Clean_Data!$J$2:$J$1401,Clean_Data!$C$2:$C$1401,"Treatment",Clean_Data!$D$2:$D$1401,"South")</f>
        <v>0.218579234972678</v>
      </c>
      <c r="D26" s="8" t="n">
        <f aca="false">C26-B26</f>
        <v>0.0881444523639819</v>
      </c>
    </row>
    <row r="27" customFormat="false" ht="15" hidden="false" customHeight="false" outlineLevel="0" collapsed="false">
      <c r="A27" s="14" t="s">
        <v>42</v>
      </c>
      <c r="B27" s="8" t="n">
        <f aca="false">AVERAGEIFS(Clean_Data!$J$2:$J$1401,Clean_Data!$C$2:$C$1401,"Control",Clean_Data!$D$2:$D$1401,"West")</f>
        <v>0.162162162162162</v>
      </c>
      <c r="C27" s="8" t="n">
        <f aca="false">AVERAGEIFS(Clean_Data!$J$2:$J$1401,Clean_Data!$C$2:$C$1401,"Treatment",Clean_Data!$D$2:$D$1401,"West")</f>
        <v>0.175141242937853</v>
      </c>
      <c r="D27" s="8" t="n">
        <f aca="false">C27-B27</f>
        <v>0.0129790807756909</v>
      </c>
    </row>
    <row r="28" customFormat="false" ht="15" hidden="false" customHeight="false" outlineLevel="0" collapsed="false">
      <c r="A28" s="1" t="s">
        <v>1604</v>
      </c>
      <c r="B28" s="1" t="s">
        <v>3</v>
      </c>
      <c r="C28" s="1" t="s">
        <v>4</v>
      </c>
      <c r="D28" s="1" t="s">
        <v>1603</v>
      </c>
    </row>
    <row r="29" customFormat="false" ht="15" hidden="false" customHeight="false" outlineLevel="0" collapsed="false">
      <c r="A29" s="13"/>
      <c r="B29" s="13"/>
      <c r="C29" s="13"/>
      <c r="D29" s="13"/>
    </row>
    <row r="30" customFormat="false" ht="15" hidden="false" customHeight="false" outlineLevel="0" collapsed="false">
      <c r="A30" s="14" t="s">
        <v>37</v>
      </c>
      <c r="B30" s="8" t="n">
        <f aca="false">AVERAGEIFS(Clean_Data!$J$2:$J$1401,Clean_Data!$C$2:$C$1401,"Control",Clean_Data!$E$2:$E$1401,"Desktop")</f>
        <v>0.175</v>
      </c>
      <c r="C30" s="8" t="n">
        <f aca="false">AVERAGEIFS(Clean_Data!$J$2:$J$1401,Clean_Data!$C$2:$C$1401,"Treatment",Clean_Data!$E$2:$E$1401,"Desktop")</f>
        <v>0.187793427230047</v>
      </c>
      <c r="D30" s="8" t="n">
        <f aca="false">C30-B30</f>
        <v>0.012793427230047</v>
      </c>
    </row>
    <row r="31" customFormat="false" ht="15" hidden="false" customHeight="false" outlineLevel="0" collapsed="false">
      <c r="A31" s="14" t="s">
        <v>43</v>
      </c>
      <c r="B31" s="8" t="n">
        <f aca="false">AVERAGEIFS(Clean_Data!$J$2:$J$1401,Clean_Data!$C$2:$C$1401,"Control",Clean_Data!$E$2:$E$1401,"Mobile")</f>
        <v>0.13849765258216</v>
      </c>
      <c r="C31" s="8" t="n">
        <f aca="false">AVERAGEIFS(Clean_Data!$J$2:$J$1401,Clean_Data!$C$2:$C$1401,"Treatment",Clean_Data!$E$2:$E$1401,"Mobile")</f>
        <v>0.222222222222222</v>
      </c>
      <c r="D31" s="8" t="n">
        <f aca="false">C31-B31</f>
        <v>0.0837245696400626</v>
      </c>
    </row>
    <row r="32" customFormat="false" ht="15" hidden="false" customHeight="false" outlineLevel="0" collapsed="false">
      <c r="A32" s="14" t="s">
        <v>56</v>
      </c>
      <c r="B32" s="8" t="n">
        <f aca="false">AVERAGEIFS(Clean_Data!$J$2:$J$1401,Clean_Data!$C$2:$C$1401,"Control",Clean_Data!$E$2:$E$1401,"Tablet")</f>
        <v>0.181818181818182</v>
      </c>
      <c r="C32" s="8" t="n">
        <f aca="false">AVERAGEIFS(Clean_Data!$J$2:$J$1401,Clean_Data!$C$2:$C$1401,"Treatment",Clean_Data!$E$2:$E$1401,"Tablet")</f>
        <v>0.232142857142857</v>
      </c>
      <c r="D32" s="8" t="n">
        <f aca="false">C32-B32</f>
        <v>0.0503246753246753</v>
      </c>
    </row>
    <row r="33" customFormat="false" ht="15" hidden="false" customHeight="false" outlineLevel="0" collapsed="false">
      <c r="A33" s="1" t="s">
        <v>1605</v>
      </c>
      <c r="B33" s="1" t="s">
        <v>3</v>
      </c>
      <c r="C33" s="1" t="s">
        <v>4</v>
      </c>
      <c r="D33" s="1" t="s">
        <v>1603</v>
      </c>
    </row>
    <row r="34" customFormat="false" ht="15" hidden="false" customHeight="false" outlineLevel="0" collapsed="false">
      <c r="A34" s="13"/>
      <c r="B34" s="13"/>
      <c r="C34" s="13"/>
      <c r="D34" s="13"/>
    </row>
    <row r="35" customFormat="false" ht="15" hidden="false" customHeight="false" outlineLevel="0" collapsed="false">
      <c r="A35" s="14" t="s">
        <v>39</v>
      </c>
      <c r="B35" s="8" t="n">
        <f aca="false">AVERAGEIFS(Clean_Data!$J$2:$J$1401,Clean_Data!$C$2:$C$1401,"Control",Clean_Data!$G$2:$G$1401,"Basic")</f>
        <v>0.14027149321267</v>
      </c>
      <c r="C35" s="8" t="n">
        <f aca="false">AVERAGEIFS(Clean_Data!$J$2:$J$1401,Clean_Data!$C$2:$C$1401,"Treatment",Clean_Data!$G$2:$G$1401,"Basic")</f>
        <v>0.189655172413793</v>
      </c>
      <c r="D35" s="8" t="n">
        <f aca="false">C35-B35</f>
        <v>0.0493836792011234</v>
      </c>
    </row>
    <row r="36" customFormat="false" ht="15" hidden="false" customHeight="false" outlineLevel="0" collapsed="false">
      <c r="A36" s="14" t="s">
        <v>45</v>
      </c>
      <c r="B36" s="8" t="n">
        <f aca="false">AVERAGEIFS(Clean_Data!$J$2:$J$1401,Clean_Data!$C$2:$C$1401,"Control",Clean_Data!$G$2:$G$1401,"Free")</f>
        <v>0.155555555555556</v>
      </c>
      <c r="C36" s="8" t="n">
        <f aca="false">AVERAGEIFS(Clean_Data!$J$2:$J$1401,Clean_Data!$C$2:$C$1401,"Treatment",Clean_Data!$G$2:$G$1401,"Free")</f>
        <v>0.234972677595628</v>
      </c>
      <c r="D36" s="8" t="n">
        <f aca="false">C36-B36</f>
        <v>0.0794171220400729</v>
      </c>
    </row>
    <row r="37" customFormat="false" ht="15" hidden="false" customHeight="false" outlineLevel="0" collapsed="false">
      <c r="A37" s="14" t="s">
        <v>50</v>
      </c>
      <c r="B37" s="8" t="n">
        <f aca="false">AVERAGEIFS(Clean_Data!$J$2:$J$1401,Clean_Data!$C$2:$C$1401,"Control",Clean_Data!$G$2:$G$1401,"Premium")</f>
        <v>0.192660550458716</v>
      </c>
      <c r="C37" s="8" t="n">
        <f aca="false">AVERAGEIFS(Clean_Data!$J$2:$J$1401,Clean_Data!$C$2:$C$1401,"Treatment",Clean_Data!$G$2:$G$1401,"Premium")</f>
        <v>0.178571428571429</v>
      </c>
      <c r="D37" s="8" t="n">
        <f aca="false">C37-B37</f>
        <v>-0.014089121887287</v>
      </c>
    </row>
    <row r="40" customFormat="false" ht="15" hidden="false" customHeight="false" outlineLevel="0" collapsed="false">
      <c r="A40" s="12" t="s">
        <v>16</v>
      </c>
    </row>
    <row r="41" customFormat="false" ht="15" hidden="false" customHeight="false" outlineLevel="0" collapsed="false">
      <c r="A41" s="13" t="s">
        <v>1602</v>
      </c>
      <c r="B41" s="13" t="s">
        <v>3</v>
      </c>
      <c r="C41" s="13" t="s">
        <v>4</v>
      </c>
      <c r="D41" s="13" t="s">
        <v>1603</v>
      </c>
    </row>
    <row r="42" customFormat="false" ht="15" hidden="false" customHeight="false" outlineLevel="0" collapsed="false">
      <c r="A42" s="14" t="s">
        <v>48</v>
      </c>
      <c r="B42" s="15" t="n">
        <f aca="false">AVERAGEIFS(Clean_Data!$P$2:$P$1401,Clean_Data!$C$2:$C$1401,"Control",Clean_Data!$D$2:$D$1401,"East")</f>
        <v>56.556050955414</v>
      </c>
      <c r="C42" s="15" t="n">
        <f aca="false">AVERAGEIFS(Clean_Data!$P$2:$P$1401,Clean_Data!$C$2:$C$1401,"Treatment",Clean_Data!$D$2:$D$1401,"East")</f>
        <v>63.3076923076923</v>
      </c>
      <c r="D42" s="15" t="n">
        <f aca="false">C42-B42</f>
        <v>6.7516413522783</v>
      </c>
    </row>
    <row r="43" customFormat="false" ht="15" hidden="false" customHeight="false" outlineLevel="0" collapsed="false">
      <c r="A43" s="14" t="s">
        <v>36</v>
      </c>
      <c r="B43" s="15" t="n">
        <f aca="false">AVERAGEIFS(Clean_Data!$P$2:$P$1401,Clean_Data!$C$2:$C$1401,"Control",Clean_Data!$D$2:$D$1401,"North")</f>
        <v>57.6166666666667</v>
      </c>
      <c r="C43" s="15" t="n">
        <f aca="false">AVERAGEIFS(Clean_Data!$P$2:$P$1401,Clean_Data!$C$2:$C$1401,"Treatment",Clean_Data!$D$2:$D$1401,"North")</f>
        <v>63.1539772727273</v>
      </c>
      <c r="D43" s="15" t="n">
        <f aca="false">C43-B43</f>
        <v>5.53731060606061</v>
      </c>
    </row>
    <row r="44" customFormat="false" ht="15" hidden="false" customHeight="false" outlineLevel="0" collapsed="false">
      <c r="A44" s="14" t="s">
        <v>53</v>
      </c>
      <c r="B44" s="15" t="n">
        <f aca="false">AVERAGEIFS(Clean_Data!$P$2:$P$1401,Clean_Data!$C$2:$C$1401,"Control",Clean_Data!$D$2:$D$1401,"South")</f>
        <v>56.9049723756906</v>
      </c>
      <c r="C44" s="15" t="n">
        <f aca="false">AVERAGEIFS(Clean_Data!$P$2:$P$1401,Clean_Data!$C$2:$C$1401,"Treatment",Clean_Data!$D$2:$D$1401,"South")</f>
        <v>62.1132596685083</v>
      </c>
      <c r="D44" s="15" t="n">
        <f aca="false">C44-B44</f>
        <v>5.20828729281768</v>
      </c>
    </row>
    <row r="45" customFormat="false" ht="15" hidden="false" customHeight="false" outlineLevel="0" collapsed="false">
      <c r="A45" s="14" t="s">
        <v>42</v>
      </c>
      <c r="B45" s="15" t="n">
        <f aca="false">AVERAGEIFS(Clean_Data!$P$2:$P$1401,Clean_Data!$C$2:$C$1401,"Control",Clean_Data!$D$2:$D$1401,"West")</f>
        <v>56.8986486486486</v>
      </c>
      <c r="C45" s="15" t="n">
        <f aca="false">AVERAGEIFS(Clean_Data!$P$2:$P$1401,Clean_Data!$C$2:$C$1401,"Treatment",Clean_Data!$D$2:$D$1401,"West")</f>
        <v>63.2232954545455</v>
      </c>
      <c r="D45" s="15" t="n">
        <f aca="false">C45-B45</f>
        <v>6.32464680589681</v>
      </c>
    </row>
    <row r="46" customFormat="false" ht="15" hidden="false" customHeight="false" outlineLevel="0" collapsed="false">
      <c r="A46" s="1" t="s">
        <v>1604</v>
      </c>
      <c r="B46" s="1" t="s">
        <v>3</v>
      </c>
      <c r="C46" s="1" t="s">
        <v>4</v>
      </c>
      <c r="D46" s="1" t="s">
        <v>1603</v>
      </c>
    </row>
    <row r="47" customFormat="false" ht="15" hidden="false" customHeight="false" outlineLevel="0" collapsed="false">
      <c r="A47" s="13"/>
      <c r="B47" s="13"/>
      <c r="C47" s="13"/>
      <c r="D47" s="13"/>
    </row>
    <row r="48" customFormat="false" ht="15" hidden="false" customHeight="false" outlineLevel="0" collapsed="false">
      <c r="A48" s="14" t="s">
        <v>37</v>
      </c>
      <c r="B48" s="15" t="n">
        <f aca="false">AVERAGEIFS(Clean_Data!$P$2:$P$1401,Clean_Data!$C$2:$C$1401,"Control",Clean_Data!$E$2:$E$1401,"Desktop")</f>
        <v>57.2125628140703</v>
      </c>
      <c r="C48" s="15" t="n">
        <f aca="false">AVERAGEIFS(Clean_Data!$P$2:$P$1401,Clean_Data!$C$2:$C$1401,"Treatment",Clean_Data!$E$2:$E$1401,"Desktop")</f>
        <v>63.2104265402844</v>
      </c>
      <c r="D48" s="15" t="n">
        <f aca="false">C48-B48</f>
        <v>5.99786372621401</v>
      </c>
    </row>
    <row r="49" customFormat="false" ht="15" hidden="false" customHeight="false" outlineLevel="0" collapsed="false">
      <c r="A49" s="14" t="s">
        <v>43</v>
      </c>
      <c r="B49" s="15" t="n">
        <f aca="false">AVERAGEIFS(Clean_Data!$P$2:$P$1401,Clean_Data!$C$2:$C$1401,"Control",Clean_Data!$E$2:$E$1401,"Mobile")</f>
        <v>57.363981042654</v>
      </c>
      <c r="C49" s="15" t="n">
        <f aca="false">AVERAGEIFS(Clean_Data!$P$2:$P$1401,Clean_Data!$C$2:$C$1401,"Treatment",Clean_Data!$E$2:$E$1401,"Mobile")</f>
        <v>62.8136150234742</v>
      </c>
      <c r="D49" s="15" t="n">
        <f aca="false">C49-B49</f>
        <v>5.44963398082015</v>
      </c>
    </row>
    <row r="50" customFormat="false" ht="15" hidden="false" customHeight="false" outlineLevel="0" collapsed="false">
      <c r="A50" s="14" t="s">
        <v>56</v>
      </c>
      <c r="B50" s="15" t="n">
        <f aca="false">AVERAGEIFS(Clean_Data!$P$2:$P$1401,Clean_Data!$C$2:$C$1401,"Control",Clean_Data!$E$2:$E$1401,"Tablet")</f>
        <v>55.662962962963</v>
      </c>
      <c r="C50" s="15" t="n">
        <f aca="false">AVERAGEIFS(Clean_Data!$P$2:$P$1401,Clean_Data!$C$2:$C$1401,"Treatment",Clean_Data!$E$2:$E$1401,"Tablet")</f>
        <v>63.0071428571429</v>
      </c>
      <c r="D50" s="15" t="n">
        <f aca="false">C50-B50</f>
        <v>7.3441798941799</v>
      </c>
    </row>
    <row r="51" customFormat="false" ht="15" hidden="false" customHeight="false" outlineLevel="0" collapsed="false">
      <c r="A51" s="1" t="s">
        <v>1605</v>
      </c>
      <c r="B51" s="1" t="s">
        <v>3</v>
      </c>
      <c r="C51" s="1" t="s">
        <v>4</v>
      </c>
      <c r="D51" s="1" t="s">
        <v>1603</v>
      </c>
    </row>
    <row r="52" customFormat="false" ht="15" hidden="false" customHeight="false" outlineLevel="0" collapsed="false">
      <c r="A52" s="13"/>
      <c r="B52" s="13"/>
      <c r="C52" s="13"/>
      <c r="D52" s="13"/>
    </row>
    <row r="53" customFormat="false" ht="15" hidden="false" customHeight="false" outlineLevel="0" collapsed="false">
      <c r="A53" s="14" t="s">
        <v>39</v>
      </c>
      <c r="B53" s="15" t="n">
        <f aca="false">AVERAGEIFS(Clean_Data!$P$2:$P$1401,Clean_Data!$C$2:$C$1401,"Control",Clean_Data!$G$2:$G$1401,"Basic")</f>
        <v>56.9704545454545</v>
      </c>
      <c r="C53" s="15" t="n">
        <f aca="false">AVERAGEIFS(Clean_Data!$P$2:$P$1401,Clean_Data!$C$2:$C$1401,"Treatment",Clean_Data!$G$2:$G$1401,"Basic")</f>
        <v>62.9960869565217</v>
      </c>
      <c r="D53" s="15" t="n">
        <f aca="false">C53-B53</f>
        <v>6.0256324110672</v>
      </c>
    </row>
    <row r="54" customFormat="false" ht="15" hidden="false" customHeight="false" outlineLevel="0" collapsed="false">
      <c r="A54" s="14" t="s">
        <v>45</v>
      </c>
      <c r="B54" s="15" t="n">
        <f aca="false">AVERAGEIFS(Clean_Data!$P$2:$P$1401,Clean_Data!$C$2:$C$1401,"Control",Clean_Data!$G$2:$G$1401,"Free")</f>
        <v>57.2571830985916</v>
      </c>
      <c r="C54" s="15" t="n">
        <f aca="false">AVERAGEIFS(Clean_Data!$P$2:$P$1401,Clean_Data!$C$2:$C$1401,"Treatment",Clean_Data!$G$2:$G$1401,"Free")</f>
        <v>62.2041436464088</v>
      </c>
      <c r="D54" s="15" t="n">
        <f aca="false">C54-B54</f>
        <v>4.9469605478173</v>
      </c>
    </row>
    <row r="55" customFormat="false" ht="15" hidden="false" customHeight="false" outlineLevel="0" collapsed="false">
      <c r="A55" s="14" t="s">
        <v>50</v>
      </c>
      <c r="B55" s="15" t="n">
        <f aca="false">AVERAGEIFS(Clean_Data!$P$2:$P$1401,Clean_Data!$C$2:$C$1401,"Control",Clean_Data!$G$2:$G$1401,"Premium")</f>
        <v>56.4073394495413</v>
      </c>
      <c r="C55" s="15" t="n">
        <f aca="false">AVERAGEIFS(Clean_Data!$P$2:$P$1401,Clean_Data!$C$2:$C$1401,"Treatment",Clean_Data!$G$2:$G$1401,"Premium")</f>
        <v>65.2445454545455</v>
      </c>
      <c r="D55" s="15" t="n">
        <f aca="false">C55-B55</f>
        <v>8.83720600500416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2026-06-21T11:05:57Z</dcterms:created>
  <dc:creator>openpyxl</dc:creator>
  <dc:description/>
  <dc:language>en-US</dc:language>
  <cp:lastModifiedBy/>
  <dcterms:modified xsi:type="dcterms:W3CDTF">2026-06-21T11:06:21Z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